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sevan.SARAHS_DESKTOP\Downloads\"/>
    </mc:Choice>
  </mc:AlternateContent>
  <xr:revisionPtr revIDLastSave="0" documentId="13_ncr:1_{65C7DF1B-68FE-43C1-8975-BCFCB2C83D56}" xr6:coauthVersionLast="47" xr6:coauthVersionMax="47" xr10:uidLastSave="{00000000-0000-0000-0000-000000000000}"/>
  <bookViews>
    <workbookView xWindow="19095" yWindow="0" windowWidth="19410" windowHeight="20985" activeTab="3" xr2:uid="{00000000-000D-0000-FFFF-FFFF00000000}"/>
  </bookViews>
  <sheets>
    <sheet name="Sheet1" sheetId="21" r:id="rId1"/>
    <sheet name="Chart1" sheetId="24" r:id="rId2"/>
    <sheet name="Sheet3" sheetId="23" r:id="rId3"/>
    <sheet name="AET NPV" sheetId="20" r:id="rId4"/>
    <sheet name="M2" sheetId="9" state="hidden" r:id="rId5"/>
    <sheet name="NPV2" sheetId="10" state="hidden" r:id="rId6"/>
  </sheets>
  <definedNames>
    <definedName name="_xlchart.v1.0" hidden="1">Sheet3!$C$5:$C$15</definedName>
    <definedName name="_xlchart.v1.1" hidden="1">Sheet3!$D$4</definedName>
    <definedName name="_xlchart.v1.2" hidden="1">Sheet3!$D$5:$D$15</definedName>
    <definedName name="_xlchart.v1.3" hidden="1">Sheet3!$C$5:$C$10</definedName>
    <definedName name="_xlchart.v1.4" hidden="1">Sheet3!$D$4</definedName>
    <definedName name="_xlchart.v1.5" hidden="1">Sheet3!$D$5:$D$10</definedName>
    <definedName name="_xlchart.v1.6" hidden="1">Sheet3!$C$5:$C$10</definedName>
    <definedName name="_xlchart.v1.7" hidden="1">Sheet3!$E$4</definedName>
    <definedName name="_xlchart.v1.8" hidden="1">Sheet3!$E$5:$E$10</definedName>
    <definedName name="CF" localSheetId="3">OFFSET('AET NPV'!$B$63,0,0,1,'AET NPV'!$C$6)</definedName>
    <definedName name="CF">OFFSET(#REF!,0,0,1,#REF!)</definedName>
    <definedName name="CumDiscCF" localSheetId="3">OFFSET('AET NPV'!$B$66,0,0,1,VALUE('AET NPV'!$C$6))</definedName>
    <definedName name="CumDiscCF">OFFSET(#REF!,0,0,1,VALUE(#REF!))</definedName>
    <definedName name="Rev_Stream" localSheetId="4">'M2'!$D$74:$D$81</definedName>
    <definedName name="Rev_Stream">#REF!</definedName>
    <definedName name="Revenue" localSheetId="4">'M2'!$D$74:$E$81</definedName>
    <definedName name="Revenue">#REF!</definedName>
    <definedName name="scenario">#REF!</definedName>
    <definedName name="solver_adj" localSheetId="4" hidden="1">'M2'!$B$35,'M2'!$E$2,'M2'!$N$34,'M2'!$N$42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itr" localSheetId="4" hidden="1">2147483647</definedName>
    <definedName name="solver_lhs1" localSheetId="4" hidden="1">'M2'!$N$34</definedName>
    <definedName name="solver_lhs2" localSheetId="4" hidden="1">'M2'!$B$35</definedName>
    <definedName name="solver_lhs3" localSheetId="4" hidden="1">'M2'!$B$35</definedName>
    <definedName name="solver_lhs4" localSheetId="4" hidden="1">'M2'!$E$2</definedName>
    <definedName name="solver_lhs5" localSheetId="4" hidden="1">'M2'!$E$2</definedName>
    <definedName name="solver_lhs6" localSheetId="4" hidden="1">'M2'!$N$42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6</definedName>
    <definedName name="solver_opt" localSheetId="4" hidden="1">'M2'!$E$94</definedName>
    <definedName name="solver_pre" localSheetId="4" hidden="1">0.000001</definedName>
    <definedName name="solver_rbv" localSheetId="4" hidden="1">1</definedName>
    <definedName name="solver_rel1" localSheetId="4" hidden="1">5</definedName>
    <definedName name="solver_rel2" localSheetId="4" hidden="1">1</definedName>
    <definedName name="solver_rel3" localSheetId="4" hidden="1">3</definedName>
    <definedName name="solver_rel4" localSheetId="4" hidden="1">1</definedName>
    <definedName name="solver_rel5" localSheetId="4" hidden="1">3</definedName>
    <definedName name="solver_rel6" localSheetId="4" hidden="1">5</definedName>
    <definedName name="solver_rhs1" localSheetId="4" hidden="1">"binary"</definedName>
    <definedName name="solver_rhs2" localSheetId="4" hidden="1">90</definedName>
    <definedName name="solver_rhs3" localSheetId="4" hidden="1">0</definedName>
    <definedName name="solver_rhs4" localSheetId="4" hidden="1">320</definedName>
    <definedName name="solver_rhs5" localSheetId="4" hidden="1">'M2'!$E$5</definedName>
    <definedName name="solver_rhs6" localSheetId="4" hidden="1">"binary"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1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0" l="1"/>
  <c r="C45" i="20"/>
  <c r="E22" i="23"/>
  <c r="D22" i="23"/>
  <c r="E8" i="23"/>
  <c r="F8" i="23" s="1"/>
  <c r="F6" i="23"/>
  <c r="F7" i="23"/>
  <c r="F9" i="23"/>
  <c r="F5" i="23"/>
  <c r="E18" i="23"/>
  <c r="D18" i="23"/>
  <c r="R39" i="21" l="1"/>
  <c r="V22" i="21"/>
  <c r="V29" i="21" s="1"/>
  <c r="V30" i="21" s="1"/>
  <c r="K11" i="20"/>
  <c r="C6" i="20"/>
  <c r="J53" i="21"/>
  <c r="K22" i="21"/>
  <c r="C36" i="21"/>
  <c r="J37" i="21" s="1"/>
  <c r="L37" i="21" s="1"/>
  <c r="M37" i="21" s="1"/>
  <c r="J36" i="21"/>
  <c r="L36" i="21" s="1"/>
  <c r="M36" i="21" s="1"/>
  <c r="J51" i="21"/>
  <c r="E60" i="21"/>
  <c r="D60" i="21"/>
  <c r="C60" i="21"/>
  <c r="E59" i="21"/>
  <c r="D59" i="21"/>
  <c r="C59" i="21"/>
  <c r="E58" i="21"/>
  <c r="D58" i="21"/>
  <c r="C58" i="21"/>
  <c r="E57" i="21"/>
  <c r="D57" i="21"/>
  <c r="C57" i="21"/>
  <c r="E56" i="21"/>
  <c r="D56" i="21"/>
  <c r="C56" i="21"/>
  <c r="E55" i="21"/>
  <c r="D55" i="21"/>
  <c r="C55" i="21"/>
  <c r="E51" i="21"/>
  <c r="D51" i="21"/>
  <c r="C51" i="21"/>
  <c r="E50" i="21"/>
  <c r="D50" i="21"/>
  <c r="C50" i="21"/>
  <c r="E49" i="21"/>
  <c r="D49" i="21"/>
  <c r="F49" i="21" s="1"/>
  <c r="C49" i="21"/>
  <c r="E48" i="21"/>
  <c r="D48" i="21"/>
  <c r="C48" i="21"/>
  <c r="E44" i="21"/>
  <c r="D44" i="21"/>
  <c r="C44" i="21"/>
  <c r="E43" i="21"/>
  <c r="D43" i="21"/>
  <c r="F43" i="21" s="1"/>
  <c r="C43" i="21"/>
  <c r="E40" i="21"/>
  <c r="D40" i="21"/>
  <c r="C40" i="21"/>
  <c r="E39" i="21"/>
  <c r="D39" i="21"/>
  <c r="C39" i="21"/>
  <c r="E36" i="21"/>
  <c r="D36" i="21"/>
  <c r="D24" i="21"/>
  <c r="E24" i="21"/>
  <c r="D25" i="21"/>
  <c r="E25" i="21"/>
  <c r="D26" i="21"/>
  <c r="E26" i="21"/>
  <c r="D27" i="21"/>
  <c r="E27" i="21"/>
  <c r="D28" i="21"/>
  <c r="E28" i="21"/>
  <c r="D29" i="21"/>
  <c r="E29" i="21"/>
  <c r="D30" i="21"/>
  <c r="E30" i="21"/>
  <c r="D31" i="21"/>
  <c r="E31" i="21"/>
  <c r="E23" i="21"/>
  <c r="D23" i="21"/>
  <c r="C24" i="21"/>
  <c r="C25" i="21"/>
  <c r="C26" i="21"/>
  <c r="C27" i="21"/>
  <c r="C28" i="21"/>
  <c r="C29" i="21"/>
  <c r="C30" i="21"/>
  <c r="C31" i="21"/>
  <c r="C23" i="21"/>
  <c r="C20" i="21"/>
  <c r="E20" i="21"/>
  <c r="D20" i="21"/>
  <c r="F18" i="21"/>
  <c r="F17" i="21"/>
  <c r="F16" i="21"/>
  <c r="F29" i="21" s="1"/>
  <c r="F15" i="21"/>
  <c r="F14" i="21"/>
  <c r="F27" i="21" s="1"/>
  <c r="F13" i="21"/>
  <c r="F26" i="21" s="1"/>
  <c r="F12" i="21"/>
  <c r="F25" i="21" s="1"/>
  <c r="F11" i="21"/>
  <c r="F24" i="21" s="1"/>
  <c r="F10" i="21"/>
  <c r="F23" i="21" s="1"/>
  <c r="F9" i="21"/>
  <c r="F8" i="21"/>
  <c r="F5" i="21"/>
  <c r="F6" i="21"/>
  <c r="F7" i="21"/>
  <c r="E67" i="21"/>
  <c r="B70" i="21"/>
  <c r="B71" i="21" s="1"/>
  <c r="C67" i="21"/>
  <c r="B67" i="21"/>
  <c r="B68" i="21" s="1"/>
  <c r="F4" i="21"/>
  <c r="F40" i="21" l="1"/>
  <c r="F56" i="21"/>
  <c r="K25" i="21"/>
  <c r="F50" i="21"/>
  <c r="K29" i="21"/>
  <c r="C4" i="20"/>
  <c r="F39" i="21"/>
  <c r="F44" i="21"/>
  <c r="F58" i="21"/>
  <c r="C47" i="20"/>
  <c r="D33" i="21"/>
  <c r="F48" i="21"/>
  <c r="F51" i="21"/>
  <c r="V25" i="21"/>
  <c r="V26" i="21" s="1"/>
  <c r="J39" i="21"/>
  <c r="L39" i="21" s="1"/>
  <c r="M39" i="21" s="1"/>
  <c r="J40" i="21"/>
  <c r="J38" i="21"/>
  <c r="L38" i="21" s="1"/>
  <c r="M38" i="21" s="1"/>
  <c r="J41" i="21"/>
  <c r="C61" i="21"/>
  <c r="E61" i="21" s="1"/>
  <c r="D61" i="21"/>
  <c r="C52" i="21"/>
  <c r="E52" i="21" s="1"/>
  <c r="F59" i="21"/>
  <c r="F57" i="21"/>
  <c r="F60" i="21"/>
  <c r="F55" i="21"/>
  <c r="F20" i="21"/>
  <c r="E33" i="21"/>
  <c r="F30" i="21"/>
  <c r="F36" i="21"/>
  <c r="F31" i="21"/>
  <c r="F33" i="21" s="1"/>
  <c r="C33" i="21"/>
  <c r="F28" i="21"/>
  <c r="K30" i="21" l="1"/>
  <c r="K45" i="21" s="1"/>
  <c r="L45" i="21" s="1"/>
  <c r="M45" i="21" s="1"/>
  <c r="C52" i="20" s="1"/>
  <c r="L29" i="21"/>
  <c r="K26" i="21"/>
  <c r="K44" i="21" s="1"/>
  <c r="L44" i="21" s="1"/>
  <c r="M44" i="21" s="1"/>
  <c r="L25" i="21"/>
  <c r="P36" i="21"/>
  <c r="C48" i="20"/>
  <c r="P35" i="21"/>
  <c r="P20" i="21"/>
  <c r="F61" i="21"/>
  <c r="D52" i="21"/>
  <c r="F52" i="21" s="1"/>
  <c r="G52" i="21" s="1"/>
  <c r="K40" i="21" s="1"/>
  <c r="Q35" i="21" s="1"/>
  <c r="P25" i="21" l="1"/>
  <c r="P26" i="21" s="1"/>
  <c r="Q41" i="21" s="1"/>
  <c r="R41" i="21" s="1"/>
  <c r="S41" i="21" s="1"/>
  <c r="P22" i="21"/>
  <c r="P29" i="21" s="1"/>
  <c r="P30" i="21" s="1"/>
  <c r="Q42" i="21" s="1"/>
  <c r="R42" i="21" s="1"/>
  <c r="S42" i="21" s="1"/>
  <c r="S39" i="21"/>
  <c r="R35" i="21"/>
  <c r="P38" i="21"/>
  <c r="R38" i="21" s="1"/>
  <c r="S38" i="21" s="1"/>
  <c r="P37" i="21"/>
  <c r="R37" i="21" s="1"/>
  <c r="S37" i="21" s="1"/>
  <c r="G61" i="21"/>
  <c r="K41" i="21" s="1"/>
  <c r="Q36" i="21" s="1"/>
  <c r="R36" i="21" s="1"/>
  <c r="S36" i="21" s="1"/>
  <c r="S35" i="21" l="1"/>
  <c r="R40" i="21"/>
  <c r="L41" i="21"/>
  <c r="M41" i="21" s="1"/>
  <c r="K42" i="21"/>
  <c r="K43" i="21" s="1"/>
  <c r="K46" i="21" s="1"/>
  <c r="L46" i="21" s="1"/>
  <c r="L40" i="21"/>
  <c r="M40" i="21" s="1"/>
  <c r="C49" i="20" s="1"/>
  <c r="S40" i="21" l="1"/>
  <c r="Q40" i="21"/>
  <c r="Q43" i="21" s="1"/>
  <c r="R43" i="21" s="1"/>
  <c r="S43" i="21" s="1"/>
  <c r="L42" i="21"/>
  <c r="M42" i="21" s="1"/>
  <c r="L43" i="21"/>
  <c r="M43" i="21" s="1"/>
  <c r="M46" i="21" s="1"/>
  <c r="B64" i="20" l="1"/>
  <c r="V45" i="20"/>
  <c r="U45" i="20"/>
  <c r="T45" i="20"/>
  <c r="S45" i="20"/>
  <c r="R45" i="20"/>
  <c r="Q45" i="20"/>
  <c r="Q64" i="20" s="1"/>
  <c r="P45" i="20"/>
  <c r="O45" i="20"/>
  <c r="N45" i="20"/>
  <c r="M45" i="20"/>
  <c r="L45" i="20"/>
  <c r="K45" i="20"/>
  <c r="J45" i="20"/>
  <c r="I45" i="20"/>
  <c r="H45" i="20"/>
  <c r="G45" i="20"/>
  <c r="F45" i="20"/>
  <c r="E45" i="20"/>
  <c r="U42" i="20"/>
  <c r="T42" i="20"/>
  <c r="S42" i="20"/>
  <c r="R42" i="20"/>
  <c r="P42" i="20"/>
  <c r="O42" i="20"/>
  <c r="N42" i="20"/>
  <c r="M42" i="20"/>
  <c r="L42" i="20"/>
  <c r="K42" i="20"/>
  <c r="J42" i="20"/>
  <c r="I42" i="20"/>
  <c r="H42" i="20"/>
  <c r="F42" i="20"/>
  <c r="E42" i="20"/>
  <c r="D42" i="20"/>
  <c r="C42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37" i="20"/>
  <c r="B36" i="20"/>
  <c r="B35" i="20"/>
  <c r="E27" i="20"/>
  <c r="F27" i="20" s="1"/>
  <c r="G27" i="20" s="1"/>
  <c r="H27" i="20" s="1"/>
  <c r="I27" i="20" s="1"/>
  <c r="J27" i="20" s="1"/>
  <c r="K27" i="20" s="1"/>
  <c r="L27" i="20" s="1"/>
  <c r="M27" i="20" s="1"/>
  <c r="N27" i="20" s="1"/>
  <c r="O27" i="20" s="1"/>
  <c r="P27" i="20" s="1"/>
  <c r="Q27" i="20" s="1"/>
  <c r="R27" i="20" s="1"/>
  <c r="S27" i="20" s="1"/>
  <c r="T27" i="20" s="1"/>
  <c r="U27" i="20" s="1"/>
  <c r="V27" i="20" s="1"/>
  <c r="E26" i="20"/>
  <c r="F26" i="20" s="1"/>
  <c r="G26" i="20" s="1"/>
  <c r="H26" i="20" s="1"/>
  <c r="I26" i="20" s="1"/>
  <c r="J26" i="20" s="1"/>
  <c r="K26" i="20" s="1"/>
  <c r="L26" i="20" s="1"/>
  <c r="M26" i="20" s="1"/>
  <c r="N26" i="20" s="1"/>
  <c r="O26" i="20" s="1"/>
  <c r="P26" i="20" s="1"/>
  <c r="Q26" i="20" s="1"/>
  <c r="R26" i="20" s="1"/>
  <c r="S26" i="20" s="1"/>
  <c r="T26" i="20" s="1"/>
  <c r="U26" i="20" s="1"/>
  <c r="V26" i="20" s="1"/>
  <c r="E25" i="20"/>
  <c r="F25" i="20" s="1"/>
  <c r="G25" i="20" s="1"/>
  <c r="H25" i="20" s="1"/>
  <c r="I25" i="20" s="1"/>
  <c r="J25" i="20" s="1"/>
  <c r="K25" i="20" s="1"/>
  <c r="L25" i="20" s="1"/>
  <c r="M25" i="20" s="1"/>
  <c r="N25" i="20" s="1"/>
  <c r="O25" i="20" s="1"/>
  <c r="P25" i="20" s="1"/>
  <c r="Q25" i="20" s="1"/>
  <c r="R25" i="20" s="1"/>
  <c r="S25" i="20" s="1"/>
  <c r="T25" i="20" s="1"/>
  <c r="U25" i="20" s="1"/>
  <c r="V25" i="20" s="1"/>
  <c r="E23" i="20"/>
  <c r="F23" i="20" s="1"/>
  <c r="G23" i="20" s="1"/>
  <c r="H23" i="20" s="1"/>
  <c r="I23" i="20" s="1"/>
  <c r="J23" i="20" s="1"/>
  <c r="K23" i="20" s="1"/>
  <c r="L23" i="20" s="1"/>
  <c r="M23" i="20" s="1"/>
  <c r="N23" i="20" s="1"/>
  <c r="O23" i="20" s="1"/>
  <c r="P23" i="20" s="1"/>
  <c r="Q23" i="20" s="1"/>
  <c r="R23" i="20" s="1"/>
  <c r="S23" i="20" s="1"/>
  <c r="T23" i="20" s="1"/>
  <c r="U23" i="20" s="1"/>
  <c r="V23" i="20" s="1"/>
  <c r="E22" i="20"/>
  <c r="F22" i="20" s="1"/>
  <c r="G22" i="20" s="1"/>
  <c r="H22" i="20" s="1"/>
  <c r="I22" i="20" s="1"/>
  <c r="J22" i="20" s="1"/>
  <c r="K22" i="20" s="1"/>
  <c r="L22" i="20" s="1"/>
  <c r="M22" i="20" s="1"/>
  <c r="N22" i="20" s="1"/>
  <c r="O22" i="20" s="1"/>
  <c r="P22" i="20" s="1"/>
  <c r="Q22" i="20" s="1"/>
  <c r="R22" i="20" s="1"/>
  <c r="S22" i="20" s="1"/>
  <c r="T22" i="20" s="1"/>
  <c r="U22" i="20" s="1"/>
  <c r="V22" i="20" s="1"/>
  <c r="E21" i="20"/>
  <c r="F21" i="20" s="1"/>
  <c r="G21" i="20" s="1"/>
  <c r="H21" i="20" s="1"/>
  <c r="I21" i="20" s="1"/>
  <c r="J21" i="20" s="1"/>
  <c r="K21" i="20" s="1"/>
  <c r="L21" i="20" s="1"/>
  <c r="M21" i="20" s="1"/>
  <c r="N21" i="20" s="1"/>
  <c r="O21" i="20" s="1"/>
  <c r="P21" i="20" s="1"/>
  <c r="Q21" i="20" s="1"/>
  <c r="R21" i="20" s="1"/>
  <c r="S21" i="20" s="1"/>
  <c r="T21" i="20" s="1"/>
  <c r="U21" i="20" s="1"/>
  <c r="V21" i="20" s="1"/>
  <c r="E20" i="20"/>
  <c r="F20" i="20" s="1"/>
  <c r="G20" i="20" s="1"/>
  <c r="H20" i="20" s="1"/>
  <c r="I20" i="20" s="1"/>
  <c r="J20" i="20" s="1"/>
  <c r="K20" i="20" s="1"/>
  <c r="L20" i="20" s="1"/>
  <c r="M20" i="20" s="1"/>
  <c r="N20" i="20" s="1"/>
  <c r="O20" i="20" s="1"/>
  <c r="P20" i="20" s="1"/>
  <c r="Q20" i="20" s="1"/>
  <c r="R20" i="20" s="1"/>
  <c r="S20" i="20" s="1"/>
  <c r="T20" i="20" s="1"/>
  <c r="U20" i="20" s="1"/>
  <c r="V20" i="20" s="1"/>
  <c r="E64" i="20" l="1"/>
  <c r="I64" i="20"/>
  <c r="U64" i="20"/>
  <c r="F64" i="20"/>
  <c r="N64" i="20"/>
  <c r="V64" i="20"/>
  <c r="G64" i="20"/>
  <c r="O64" i="20"/>
  <c r="S64" i="20"/>
  <c r="C64" i="20"/>
  <c r="D64" i="20"/>
  <c r="L64" i="20"/>
  <c r="T64" i="20"/>
  <c r="K64" i="20"/>
  <c r="H64" i="20"/>
  <c r="P64" i="20"/>
  <c r="J64" i="20"/>
  <c r="R64" i="20"/>
  <c r="M64" i="20"/>
  <c r="K9" i="10" l="1"/>
  <c r="B50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V35" i="10"/>
  <c r="U35" i="10"/>
  <c r="T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D35" i="10"/>
  <c r="C35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0" i="10"/>
  <c r="B28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K10" i="10"/>
  <c r="C5" i="10"/>
  <c r="B29" i="10" s="1"/>
  <c r="B87" i="9"/>
  <c r="B86" i="9"/>
  <c r="B85" i="9"/>
  <c r="B84" i="9"/>
  <c r="B83" i="9"/>
  <c r="K82" i="9"/>
  <c r="B77" i="9"/>
  <c r="R57" i="9"/>
  <c r="T57" i="9" s="1"/>
  <c r="U57" i="9" s="1"/>
  <c r="T56" i="9"/>
  <c r="U56" i="9" s="1"/>
  <c r="R56" i="9"/>
  <c r="R55" i="9"/>
  <c r="T55" i="9" s="1"/>
  <c r="U55" i="9" s="1"/>
  <c r="R54" i="9"/>
  <c r="T54" i="9" s="1"/>
  <c r="U54" i="9" s="1"/>
  <c r="R53" i="9"/>
  <c r="T53" i="9" s="1"/>
  <c r="U53" i="9" s="1"/>
  <c r="T52" i="9"/>
  <c r="U52" i="9" s="1"/>
  <c r="T51" i="9"/>
  <c r="U51" i="9" s="1"/>
  <c r="T50" i="9"/>
  <c r="U50" i="9" s="1"/>
  <c r="R49" i="9"/>
  <c r="T49" i="9" s="1"/>
  <c r="U49" i="9" s="1"/>
  <c r="R48" i="9"/>
  <c r="T48" i="9" s="1"/>
  <c r="U48" i="9" s="1"/>
  <c r="R43" i="9"/>
  <c r="T43" i="9" s="1"/>
  <c r="U43" i="9" s="1"/>
  <c r="V42" i="9"/>
  <c r="R42" i="9"/>
  <c r="T42" i="9" s="1"/>
  <c r="U42" i="9" s="1"/>
  <c r="V41" i="9"/>
  <c r="U41" i="9"/>
  <c r="T41" i="9"/>
  <c r="R41" i="9"/>
  <c r="V40" i="9"/>
  <c r="R40" i="9"/>
  <c r="T40" i="9" s="1"/>
  <c r="U40" i="9" s="1"/>
  <c r="R39" i="9"/>
  <c r="T39" i="9" s="1"/>
  <c r="U39" i="9" s="1"/>
  <c r="R38" i="9"/>
  <c r="T38" i="9" s="1"/>
  <c r="U38" i="9" s="1"/>
  <c r="R37" i="9"/>
  <c r="T37" i="9" s="1"/>
  <c r="U37" i="9" s="1"/>
  <c r="V36" i="9"/>
  <c r="U36" i="9"/>
  <c r="T36" i="9"/>
  <c r="R36" i="9"/>
  <c r="V35" i="9"/>
  <c r="V37" i="9" s="1"/>
  <c r="R35" i="9"/>
  <c r="T35" i="9" s="1"/>
  <c r="U35" i="9" s="1"/>
  <c r="V34" i="9"/>
  <c r="R34" i="9"/>
  <c r="T34" i="9" s="1"/>
  <c r="U34" i="9" s="1"/>
  <c r="V33" i="9"/>
  <c r="R33" i="9"/>
  <c r="T33" i="9" s="1"/>
  <c r="U33" i="9" s="1"/>
  <c r="V32" i="9"/>
  <c r="R32" i="9"/>
  <c r="T32" i="9" s="1"/>
  <c r="U32" i="9" s="1"/>
  <c r="U31" i="9"/>
  <c r="T31" i="9"/>
  <c r="R31" i="9"/>
  <c r="R30" i="9"/>
  <c r="T30" i="9" s="1"/>
  <c r="U30" i="9" s="1"/>
  <c r="V29" i="9"/>
  <c r="R29" i="9"/>
  <c r="T29" i="9" s="1"/>
  <c r="U29" i="9" s="1"/>
  <c r="R28" i="9"/>
  <c r="T28" i="9" s="1"/>
  <c r="U28" i="9" s="1"/>
  <c r="Z23" i="9"/>
  <c r="Z24" i="9" s="1"/>
  <c r="Z25" i="9" s="1"/>
  <c r="W17" i="9" s="1"/>
  <c r="W16" i="9" s="1"/>
  <c r="Z21" i="9"/>
  <c r="W20" i="9"/>
  <c r="E16" i="9"/>
  <c r="J11" i="9"/>
  <c r="J12" i="9" s="1"/>
  <c r="I11" i="9"/>
  <c r="H11" i="9"/>
  <c r="R10" i="9"/>
  <c r="R7" i="9" s="1"/>
  <c r="E9" i="9"/>
  <c r="B12" i="9" s="1"/>
  <c r="R8" i="9"/>
  <c r="R6" i="9"/>
  <c r="R5" i="9"/>
  <c r="E2" i="9"/>
  <c r="K11" i="10" l="1"/>
  <c r="S50" i="10" s="1"/>
  <c r="L13" i="9"/>
  <c r="B10" i="9"/>
  <c r="B13" i="9"/>
  <c r="K13" i="9"/>
  <c r="B11" i="9"/>
  <c r="G13" i="9"/>
  <c r="H13" i="9"/>
  <c r="I13" i="9"/>
  <c r="O11" i="9"/>
  <c r="J13" i="9"/>
  <c r="L50" i="10" l="1"/>
  <c r="J50" i="10"/>
  <c r="T50" i="10"/>
  <c r="C50" i="10"/>
  <c r="Q50" i="10"/>
  <c r="I50" i="10"/>
  <c r="V50" i="10"/>
  <c r="O50" i="10"/>
  <c r="P50" i="10"/>
  <c r="H50" i="10"/>
  <c r="M50" i="10"/>
  <c r="U50" i="10"/>
  <c r="F50" i="10"/>
  <c r="N50" i="10"/>
  <c r="D50" i="10"/>
  <c r="K50" i="10"/>
  <c r="G50" i="10"/>
  <c r="E50" i="10"/>
  <c r="R50" i="10"/>
  <c r="N13" i="9"/>
  <c r="N4" i="9" l="1"/>
  <c r="Z42" i="9" l="1" a="1"/>
  <c r="Z42" i="9" s="1"/>
  <c r="B79" i="9" l="1"/>
  <c r="G4" i="9" l="1"/>
  <c r="L4" i="9"/>
  <c r="I4" i="9"/>
  <c r="H4" i="9"/>
  <c r="K4" i="9"/>
  <c r="B2" i="9" l="1"/>
  <c r="E85" i="9" s="1"/>
  <c r="J4" i="9"/>
  <c r="J5" i="9" s="1"/>
  <c r="E74" i="9"/>
  <c r="I88" i="9" s="1"/>
  <c r="D48" i="20" l="1"/>
  <c r="W12" i="9"/>
  <c r="B16" i="9"/>
  <c r="B5" i="9"/>
  <c r="B19" i="9" s="1"/>
  <c r="O4" i="9"/>
  <c r="E48" i="20" l="1"/>
  <c r="B4" i="9"/>
  <c r="B18" i="9" s="1"/>
  <c r="E18" i="9" s="1"/>
  <c r="B6" i="9"/>
  <c r="L6" i="9"/>
  <c r="L20" i="9" s="1"/>
  <c r="H6" i="9"/>
  <c r="H20" i="9" s="1"/>
  <c r="J6" i="9"/>
  <c r="J20" i="9" s="1"/>
  <c r="I6" i="9"/>
  <c r="I20" i="9" s="1"/>
  <c r="K6" i="9"/>
  <c r="K20" i="9" s="1"/>
  <c r="G6" i="9"/>
  <c r="G20" i="9" s="1"/>
  <c r="B3" i="9"/>
  <c r="B17" i="9" s="1"/>
  <c r="E17" i="9" s="1"/>
  <c r="B20" i="9"/>
  <c r="B26" i="9"/>
  <c r="R62" i="9" s="1"/>
  <c r="T62" i="9" s="1"/>
  <c r="U62" i="9" s="1"/>
  <c r="Z41" i="9" s="1"/>
  <c r="B78" i="9" s="1"/>
  <c r="Z45" i="9" l="1"/>
  <c r="B82" i="9" s="1"/>
  <c r="F48" i="20"/>
  <c r="H18" i="9"/>
  <c r="F48" i="9" s="1"/>
  <c r="K18" i="9"/>
  <c r="I48" i="9" s="1"/>
  <c r="L18" i="9"/>
  <c r="J48" i="9" s="1"/>
  <c r="G18" i="9"/>
  <c r="E48" i="9" s="1"/>
  <c r="I18" i="9"/>
  <c r="G48" i="9" s="1"/>
  <c r="J18" i="9"/>
  <c r="J19" i="9" s="1"/>
  <c r="N6" i="9"/>
  <c r="N20" i="9" s="1"/>
  <c r="G48" i="20" l="1"/>
  <c r="E80" i="9"/>
  <c r="M88" i="9" s="1"/>
  <c r="B27" i="9"/>
  <c r="B28" i="9" s="1"/>
  <c r="H48" i="9"/>
  <c r="H49" i="9" s="1"/>
  <c r="N18" i="9"/>
  <c r="O18" i="9" s="1"/>
  <c r="B30" i="9" l="1"/>
  <c r="F24" i="9" s="1"/>
  <c r="H48" i="20"/>
  <c r="I44" i="9"/>
  <c r="B29" i="9" l="1"/>
  <c r="H29" i="9" s="1"/>
  <c r="I48" i="20"/>
  <c r="F29" i="9"/>
  <c r="E29" i="9"/>
  <c r="I25" i="9" s="1"/>
  <c r="I29" i="9"/>
  <c r="J29" i="9"/>
  <c r="G29" i="9"/>
  <c r="I24" i="9"/>
  <c r="B34" i="9"/>
  <c r="H30" i="9"/>
  <c r="J48" i="20" l="1"/>
  <c r="B36" i="9"/>
  <c r="B37" i="9" s="1"/>
  <c r="B38" i="9" s="1"/>
  <c r="F43" i="9"/>
  <c r="I43" i="9" s="1"/>
  <c r="K48" i="20" l="1"/>
  <c r="B39" i="9"/>
  <c r="F34" i="9"/>
  <c r="L48" i="20" l="1"/>
  <c r="B47" i="9"/>
  <c r="B42" i="9" s="1"/>
  <c r="B50" i="9" s="1"/>
  <c r="I34" i="9"/>
  <c r="E75" i="9" s="1"/>
  <c r="J88" i="9" s="1"/>
  <c r="F39" i="9"/>
  <c r="G39" i="9"/>
  <c r="H39" i="9"/>
  <c r="J39" i="9"/>
  <c r="I39" i="9"/>
  <c r="E39" i="9"/>
  <c r="M48" i="20" l="1"/>
  <c r="E57" i="9"/>
  <c r="E63" i="9"/>
  <c r="G64" i="9" s="1" a="1"/>
  <c r="G64" i="9" s="1"/>
  <c r="G57" i="9"/>
  <c r="I57" i="9"/>
  <c r="F57" i="9"/>
  <c r="H40" i="9"/>
  <c r="I35" i="9"/>
  <c r="H57" i="9"/>
  <c r="B41" i="9"/>
  <c r="B40" i="9"/>
  <c r="J57" i="9"/>
  <c r="D47" i="20" l="1"/>
  <c r="E47" i="20" s="1"/>
  <c r="F47" i="20" s="1"/>
  <c r="G47" i="20" s="1"/>
  <c r="H47" i="20" s="1"/>
  <c r="I47" i="20" s="1"/>
  <c r="J47" i="20" s="1"/>
  <c r="K47" i="20" s="1"/>
  <c r="L47" i="20" s="1"/>
  <c r="M47" i="20" s="1"/>
  <c r="N47" i="20" s="1"/>
  <c r="O47" i="20" s="1"/>
  <c r="P47" i="20" s="1"/>
  <c r="N48" i="20"/>
  <c r="I63" i="9"/>
  <c r="F68" i="9"/>
  <c r="H63" i="9" s="1"/>
  <c r="Z30" i="9"/>
  <c r="W19" i="9" s="1"/>
  <c r="Z43" i="9" a="1"/>
  <c r="Z43" i="9" s="1"/>
  <c r="B80" i="9" s="1"/>
  <c r="N55" i="9"/>
  <c r="E79" i="9" s="1"/>
  <c r="L88" i="9" s="1"/>
  <c r="H58" i="9"/>
  <c r="I59" i="9"/>
  <c r="D49" i="20" l="1"/>
  <c r="E49" i="20" s="1"/>
  <c r="F49" i="20" s="1"/>
  <c r="G49" i="20" s="1"/>
  <c r="H49" i="20" s="1"/>
  <c r="I49" i="20" s="1"/>
  <c r="J49" i="20" s="1"/>
  <c r="D52" i="20"/>
  <c r="E52" i="20" s="1"/>
  <c r="F52" i="20" s="1"/>
  <c r="G52" i="20" s="1"/>
  <c r="H52" i="20" s="1"/>
  <c r="I52" i="20" s="1"/>
  <c r="J52" i="20" s="1"/>
  <c r="K52" i="20" s="1"/>
  <c r="L52" i="20" s="1"/>
  <c r="M52" i="20" s="1"/>
  <c r="N52" i="20" s="1"/>
  <c r="O52" i="20" s="1"/>
  <c r="P52" i="20" s="1"/>
  <c r="Q52" i="20" s="1"/>
  <c r="D54" i="20"/>
  <c r="E54" i="20" s="1"/>
  <c r="F54" i="20" s="1"/>
  <c r="G54" i="20" s="1"/>
  <c r="H54" i="20" s="1"/>
  <c r="I54" i="20" s="1"/>
  <c r="J54" i="20" s="1"/>
  <c r="K54" i="20" s="1"/>
  <c r="L54" i="20" s="1"/>
  <c r="M54" i="20" s="1"/>
  <c r="N54" i="20" s="1"/>
  <c r="O54" i="20" s="1"/>
  <c r="P54" i="20" s="1"/>
  <c r="Q54" i="20" s="1"/>
  <c r="R54" i="20" s="1"/>
  <c r="S54" i="20" s="1"/>
  <c r="T54" i="20" s="1"/>
  <c r="U54" i="20" s="1"/>
  <c r="V54" i="20" s="1"/>
  <c r="D53" i="20"/>
  <c r="O76" i="20"/>
  <c r="O56" i="20" s="1"/>
  <c r="O60" i="20" s="1"/>
  <c r="S76" i="20"/>
  <c r="S56" i="20" s="1"/>
  <c r="S60" i="20" s="1"/>
  <c r="L76" i="20"/>
  <c r="L56" i="20" s="1"/>
  <c r="L60" i="20" s="1"/>
  <c r="B32" i="20"/>
  <c r="F76" i="20"/>
  <c r="F56" i="20" s="1"/>
  <c r="F60" i="20" s="1"/>
  <c r="H76" i="20"/>
  <c r="H56" i="20" s="1"/>
  <c r="H60" i="20" s="1"/>
  <c r="K76" i="20"/>
  <c r="K56" i="20" s="1"/>
  <c r="K60" i="20" s="1"/>
  <c r="B33" i="20"/>
  <c r="I76" i="20"/>
  <c r="I56" i="20" s="1"/>
  <c r="I60" i="20" s="1"/>
  <c r="G76" i="20"/>
  <c r="G56" i="20" s="1"/>
  <c r="G60" i="20" s="1"/>
  <c r="D76" i="20"/>
  <c r="D56" i="20" s="1"/>
  <c r="D60" i="20" s="1"/>
  <c r="N76" i="20"/>
  <c r="N56" i="20" s="1"/>
  <c r="N60" i="20" s="1"/>
  <c r="P76" i="20"/>
  <c r="P56" i="20" s="1"/>
  <c r="P60" i="20" s="1"/>
  <c r="V76" i="20"/>
  <c r="V56" i="20" s="1"/>
  <c r="V60" i="20" s="1"/>
  <c r="E76" i="20"/>
  <c r="E56" i="20" s="1"/>
  <c r="E60" i="20" s="1"/>
  <c r="Q76" i="20"/>
  <c r="Q56" i="20" s="1"/>
  <c r="Q60" i="20" s="1"/>
  <c r="R76" i="20"/>
  <c r="R56" i="20" s="1"/>
  <c r="R60" i="20" s="1"/>
  <c r="T76" i="20"/>
  <c r="T56" i="20" s="1"/>
  <c r="T60" i="20" s="1"/>
  <c r="C76" i="20"/>
  <c r="U76" i="20"/>
  <c r="U56" i="20" s="1"/>
  <c r="U60" i="20" s="1"/>
  <c r="J76" i="20"/>
  <c r="J56" i="20" s="1"/>
  <c r="J60" i="20" s="1"/>
  <c r="B77" i="20"/>
  <c r="M76" i="20"/>
  <c r="M56" i="20" s="1"/>
  <c r="M60" i="20" s="1"/>
  <c r="C75" i="20"/>
  <c r="Q47" i="20"/>
  <c r="O48" i="20"/>
  <c r="Z51" i="9"/>
  <c r="B88" i="9" s="1"/>
  <c r="E68" i="9"/>
  <c r="F63" i="9"/>
  <c r="C56" i="20" l="1"/>
  <c r="C60" i="20" s="1"/>
  <c r="C51" i="20"/>
  <c r="B34" i="20"/>
  <c r="B38" i="20" s="1"/>
  <c r="B65" i="20" s="1"/>
  <c r="B66" i="20" s="1"/>
  <c r="C77" i="20"/>
  <c r="D75" i="20"/>
  <c r="E53" i="20"/>
  <c r="D51" i="20"/>
  <c r="P48" i="20"/>
  <c r="R52" i="20"/>
  <c r="K49" i="20"/>
  <c r="R47" i="20"/>
  <c r="G63" i="9"/>
  <c r="J63" i="9"/>
  <c r="F66" i="9"/>
  <c r="B62" i="20" l="1"/>
  <c r="B63" i="20" s="1"/>
  <c r="E75" i="20"/>
  <c r="D77" i="20"/>
  <c r="L49" i="20"/>
  <c r="S47" i="20"/>
  <c r="S52" i="20"/>
  <c r="Q48" i="20"/>
  <c r="D24" i="20"/>
  <c r="F53" i="20"/>
  <c r="E51" i="20"/>
  <c r="K63" i="9"/>
  <c r="H64" i="9" s="1"/>
  <c r="H93" i="9" s="1"/>
  <c r="I93" i="9" s="1"/>
  <c r="J93" i="9" s="1"/>
  <c r="K93" i="9" s="1"/>
  <c r="L93" i="9" s="1"/>
  <c r="M93" i="9" s="1"/>
  <c r="N93" i="9" s="1"/>
  <c r="O93" i="9" s="1"/>
  <c r="L63" i="9"/>
  <c r="E66" i="9" s="1"/>
  <c r="B51" i="9"/>
  <c r="B48" i="9"/>
  <c r="E77" i="20" l="1"/>
  <c r="F75" i="20"/>
  <c r="M49" i="20"/>
  <c r="T47" i="20"/>
  <c r="E24" i="20"/>
  <c r="G53" i="20"/>
  <c r="F51" i="20"/>
  <c r="R48" i="20"/>
  <c r="T52" i="20"/>
  <c r="H94" i="9"/>
  <c r="N39" i="9"/>
  <c r="F69" i="9"/>
  <c r="E76" i="9"/>
  <c r="K88" i="9" s="1"/>
  <c r="N58" i="9"/>
  <c r="E81" i="9" s="1"/>
  <c r="N88" i="9" s="1"/>
  <c r="B49" i="9"/>
  <c r="N38" i="9" s="1"/>
  <c r="I67" i="9"/>
  <c r="F77" i="20" l="1"/>
  <c r="G75" i="20"/>
  <c r="U47" i="20"/>
  <c r="S48" i="20"/>
  <c r="F24" i="20"/>
  <c r="U52" i="20"/>
  <c r="H53" i="20"/>
  <c r="G51" i="20"/>
  <c r="N49" i="20"/>
  <c r="E77" i="9"/>
  <c r="N44" i="9"/>
  <c r="H99" i="9"/>
  <c r="H100" i="9"/>
  <c r="I100" i="9" s="1"/>
  <c r="J100" i="9" s="1"/>
  <c r="K100" i="9" s="1"/>
  <c r="L100" i="9" s="1"/>
  <c r="M100" i="9" s="1"/>
  <c r="N100" i="9" s="1"/>
  <c r="O100" i="9" s="1"/>
  <c r="I94" i="9"/>
  <c r="J94" i="9" s="1"/>
  <c r="K94" i="9" s="1"/>
  <c r="L94" i="9" s="1"/>
  <c r="M94" i="9" s="1"/>
  <c r="N94" i="9" s="1"/>
  <c r="O94" i="9" s="1"/>
  <c r="O88" i="9"/>
  <c r="H75" i="20" l="1"/>
  <c r="G77" i="20"/>
  <c r="V47" i="20"/>
  <c r="I53" i="20"/>
  <c r="H51" i="20"/>
  <c r="V52" i="20"/>
  <c r="O49" i="20"/>
  <c r="G24" i="20"/>
  <c r="T48" i="20"/>
  <c r="Z44" i="9"/>
  <c r="B81" i="9" s="1"/>
  <c r="B90" i="9" s="1"/>
  <c r="C4" i="10" s="1"/>
  <c r="E78" i="9"/>
  <c r="E83" i="9" s="1"/>
  <c r="H101" i="9"/>
  <c r="I101" i="9" s="1"/>
  <c r="J101" i="9" s="1"/>
  <c r="K101" i="9" s="1"/>
  <c r="L101" i="9" s="1"/>
  <c r="M101" i="9" s="1"/>
  <c r="N101" i="9" s="1"/>
  <c r="O101" i="9" s="1"/>
  <c r="I99" i="9"/>
  <c r="J99" i="9" s="1"/>
  <c r="K99" i="9" s="1"/>
  <c r="L99" i="9" s="1"/>
  <c r="M99" i="9" s="1"/>
  <c r="N99" i="9" s="1"/>
  <c r="O99" i="9" s="1"/>
  <c r="H77" i="20" l="1"/>
  <c r="I75" i="20"/>
  <c r="P49" i="20"/>
  <c r="H24" i="20"/>
  <c r="J53" i="20"/>
  <c r="I51" i="20"/>
  <c r="U48" i="20"/>
  <c r="S61" i="10"/>
  <c r="S43" i="10" s="1"/>
  <c r="S47" i="10" s="1"/>
  <c r="B26" i="10"/>
  <c r="P61" i="10"/>
  <c r="P43" i="10" s="1"/>
  <c r="P47" i="10" s="1"/>
  <c r="T61" i="10"/>
  <c r="T43" i="10" s="1"/>
  <c r="T47" i="10" s="1"/>
  <c r="H61" i="10"/>
  <c r="H43" i="10" s="1"/>
  <c r="H47" i="10" s="1"/>
  <c r="M61" i="10"/>
  <c r="M43" i="10" s="1"/>
  <c r="M47" i="10" s="1"/>
  <c r="I61" i="10"/>
  <c r="I43" i="10" s="1"/>
  <c r="I47" i="10" s="1"/>
  <c r="B62" i="10"/>
  <c r="E61" i="10"/>
  <c r="E43" i="10" s="1"/>
  <c r="E47" i="10" s="1"/>
  <c r="L61" i="10"/>
  <c r="L43" i="10" s="1"/>
  <c r="L47" i="10" s="1"/>
  <c r="C61" i="10"/>
  <c r="C43" i="10" s="1"/>
  <c r="C47" i="10" s="1"/>
  <c r="R61" i="10"/>
  <c r="R43" i="10" s="1"/>
  <c r="R47" i="10" s="1"/>
  <c r="Q61" i="10"/>
  <c r="Q43" i="10" s="1"/>
  <c r="Q47" i="10" s="1"/>
  <c r="B25" i="10"/>
  <c r="F61" i="10"/>
  <c r="F43" i="10" s="1"/>
  <c r="F47" i="10" s="1"/>
  <c r="J61" i="10"/>
  <c r="J43" i="10" s="1"/>
  <c r="J47" i="10" s="1"/>
  <c r="C60" i="10"/>
  <c r="U61" i="10"/>
  <c r="U43" i="10" s="1"/>
  <c r="U47" i="10" s="1"/>
  <c r="G61" i="10"/>
  <c r="G43" i="10" s="1"/>
  <c r="G47" i="10" s="1"/>
  <c r="V61" i="10"/>
  <c r="V43" i="10" s="1"/>
  <c r="V47" i="10" s="1"/>
  <c r="D61" i="10"/>
  <c r="D43" i="10" s="1"/>
  <c r="D47" i="10" s="1"/>
  <c r="N61" i="10"/>
  <c r="N43" i="10" s="1"/>
  <c r="N47" i="10" s="1"/>
  <c r="O61" i="10"/>
  <c r="O43" i="10" s="1"/>
  <c r="O47" i="10" s="1"/>
  <c r="K61" i="10"/>
  <c r="K43" i="10" s="1"/>
  <c r="K47" i="10" s="1"/>
  <c r="G4" i="10"/>
  <c r="C39" i="10" s="1"/>
  <c r="H82" i="9"/>
  <c r="E92" i="9"/>
  <c r="W22" i="9"/>
  <c r="E86" i="9" s="1"/>
  <c r="G5" i="10" s="1"/>
  <c r="W23" i="9"/>
  <c r="E87" i="9" s="1"/>
  <c r="G6" i="10" s="1"/>
  <c r="C41" i="10" s="1"/>
  <c r="D41" i="10" s="1"/>
  <c r="E41" i="10" s="1"/>
  <c r="F41" i="10" s="1"/>
  <c r="G41" i="10" s="1"/>
  <c r="H41" i="10" s="1"/>
  <c r="I41" i="10" s="1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H90" i="9"/>
  <c r="I90" i="9" s="1"/>
  <c r="J90" i="9" s="1"/>
  <c r="K90" i="9" s="1"/>
  <c r="L90" i="9" s="1"/>
  <c r="M90" i="9" s="1"/>
  <c r="N90" i="9" s="1"/>
  <c r="O90" i="9" s="1"/>
  <c r="J75" i="20" l="1"/>
  <c r="I77" i="20"/>
  <c r="D50" i="20"/>
  <c r="C46" i="20"/>
  <c r="V48" i="20"/>
  <c r="K53" i="20"/>
  <c r="J51" i="20"/>
  <c r="Q49" i="20"/>
  <c r="I24" i="20"/>
  <c r="B27" i="10"/>
  <c r="B31" i="10" s="1"/>
  <c r="B49" i="10" s="1"/>
  <c r="C62" i="10"/>
  <c r="D60" i="10"/>
  <c r="C40" i="10"/>
  <c r="C42" i="10" s="1"/>
  <c r="C44" i="10" s="1"/>
  <c r="C45" i="10" s="1"/>
  <c r="C46" i="10" s="1"/>
  <c r="C48" i="10"/>
  <c r="D39" i="10"/>
  <c r="E88" i="9"/>
  <c r="H89" i="9" s="1"/>
  <c r="I89" i="9" s="1"/>
  <c r="K75" i="20" l="1"/>
  <c r="J77" i="20"/>
  <c r="C61" i="20"/>
  <c r="C55" i="20"/>
  <c r="C57" i="20" s="1"/>
  <c r="C58" i="20" s="1"/>
  <c r="C59" i="20" s="1"/>
  <c r="E50" i="20"/>
  <c r="D46" i="20"/>
  <c r="D19" i="20" s="1"/>
  <c r="J24" i="20"/>
  <c r="L53" i="20"/>
  <c r="K51" i="20"/>
  <c r="R49" i="20"/>
  <c r="B51" i="10"/>
  <c r="E60" i="10"/>
  <c r="D62" i="10"/>
  <c r="H91" i="9"/>
  <c r="H102" i="9" s="1"/>
  <c r="H103" i="9" s="1"/>
  <c r="E90" i="9"/>
  <c r="E94" i="9" s="1"/>
  <c r="E96" i="9" s="1"/>
  <c r="E98" i="9" s="1"/>
  <c r="H79" i="9" s="1"/>
  <c r="E39" i="10"/>
  <c r="D40" i="10"/>
  <c r="D42" i="10" s="1"/>
  <c r="D44" i="10" s="1"/>
  <c r="D45" i="10" s="1"/>
  <c r="D46" i="10" s="1"/>
  <c r="D48" i="10"/>
  <c r="C49" i="10"/>
  <c r="C51" i="10" s="1"/>
  <c r="J89" i="9"/>
  <c r="I91" i="9"/>
  <c r="C63" i="20" l="1"/>
  <c r="C65" i="20" s="1"/>
  <c r="C66" i="20" s="1"/>
  <c r="L75" i="20"/>
  <c r="K77" i="20"/>
  <c r="E46" i="20"/>
  <c r="F50" i="20"/>
  <c r="D61" i="20"/>
  <c r="D55" i="20"/>
  <c r="D57" i="20" s="1"/>
  <c r="D58" i="20" s="1"/>
  <c r="D59" i="20" s="1"/>
  <c r="S49" i="20"/>
  <c r="K24" i="20"/>
  <c r="M53" i="20"/>
  <c r="L51" i="20"/>
  <c r="H106" i="9"/>
  <c r="H96" i="9"/>
  <c r="H97" i="9"/>
  <c r="E100" i="9"/>
  <c r="H81" i="9" s="1"/>
  <c r="E62" i="10"/>
  <c r="F60" i="10"/>
  <c r="D49" i="10"/>
  <c r="D51" i="10" s="1"/>
  <c r="F39" i="10"/>
  <c r="E48" i="10"/>
  <c r="E40" i="10"/>
  <c r="E42" i="10" s="1"/>
  <c r="E44" i="10" s="1"/>
  <c r="E45" i="10" s="1"/>
  <c r="E46" i="10" s="1"/>
  <c r="E49" i="10" s="1"/>
  <c r="E51" i="10" s="1"/>
  <c r="I97" i="9"/>
  <c r="I96" i="9"/>
  <c r="I106" i="9"/>
  <c r="I102" i="9"/>
  <c r="I103" i="9" s="1"/>
  <c r="K89" i="9"/>
  <c r="J91" i="9"/>
  <c r="L77" i="20" l="1"/>
  <c r="M75" i="20"/>
  <c r="D63" i="20"/>
  <c r="D65" i="20" s="1"/>
  <c r="D66" i="20" s="1"/>
  <c r="G50" i="20"/>
  <c r="F46" i="20"/>
  <c r="E61" i="20"/>
  <c r="E19" i="20"/>
  <c r="E55" i="20"/>
  <c r="E57" i="20" s="1"/>
  <c r="L24" i="20"/>
  <c r="N53" i="20"/>
  <c r="M51" i="20"/>
  <c r="T49" i="20"/>
  <c r="H83" i="9"/>
  <c r="K81" i="9"/>
  <c r="G60" i="10"/>
  <c r="F62" i="10"/>
  <c r="G39" i="10"/>
  <c r="F48" i="10"/>
  <c r="F40" i="10"/>
  <c r="F42" i="10" s="1"/>
  <c r="F44" i="10" s="1"/>
  <c r="K91" i="9"/>
  <c r="L89" i="9"/>
  <c r="J96" i="9"/>
  <c r="J106" i="9"/>
  <c r="J97" i="9"/>
  <c r="J102" i="9"/>
  <c r="J103" i="9" s="1"/>
  <c r="M77" i="20" l="1"/>
  <c r="N75" i="20"/>
  <c r="E58" i="20"/>
  <c r="E59" i="20" s="1"/>
  <c r="E63" i="20" s="1"/>
  <c r="E65" i="20" s="1"/>
  <c r="E66" i="20" s="1"/>
  <c r="F19" i="20"/>
  <c r="F61" i="20"/>
  <c r="F55" i="20"/>
  <c r="F57" i="20" s="1"/>
  <c r="F58" i="20" s="1"/>
  <c r="F59" i="20" s="1"/>
  <c r="H50" i="20"/>
  <c r="G46" i="20"/>
  <c r="O53" i="20"/>
  <c r="N51" i="20"/>
  <c r="U49" i="20"/>
  <c r="M24" i="20"/>
  <c r="G62" i="10"/>
  <c r="H60" i="10"/>
  <c r="F45" i="10"/>
  <c r="F46" i="10" s="1"/>
  <c r="F49" i="10" s="1"/>
  <c r="F51" i="10" s="1"/>
  <c r="H39" i="10"/>
  <c r="G40" i="10"/>
  <c r="G42" i="10" s="1"/>
  <c r="G44" i="10" s="1"/>
  <c r="G45" i="10" s="1"/>
  <c r="G46" i="10" s="1"/>
  <c r="G48" i="10"/>
  <c r="K96" i="9"/>
  <c r="K97" i="9"/>
  <c r="K106" i="9"/>
  <c r="K102" i="9"/>
  <c r="K103" i="9" s="1"/>
  <c r="L91" i="9"/>
  <c r="M89" i="9"/>
  <c r="F63" i="20" l="1"/>
  <c r="F65" i="20" s="1"/>
  <c r="F66" i="20" s="1"/>
  <c r="N77" i="20"/>
  <c r="O75" i="20"/>
  <c r="I50" i="20"/>
  <c r="H46" i="20"/>
  <c r="G61" i="20"/>
  <c r="G19" i="20"/>
  <c r="G55" i="20"/>
  <c r="G57" i="20" s="1"/>
  <c r="G58" i="20" s="1"/>
  <c r="G59" i="20" s="1"/>
  <c r="V49" i="20"/>
  <c r="N24" i="20"/>
  <c r="P53" i="20"/>
  <c r="O51" i="20"/>
  <c r="H62" i="10"/>
  <c r="I60" i="10"/>
  <c r="G49" i="10"/>
  <c r="G51" i="10" s="1"/>
  <c r="I39" i="10"/>
  <c r="H48" i="10"/>
  <c r="H40" i="10"/>
  <c r="H42" i="10" s="1"/>
  <c r="H44" i="10" s="1"/>
  <c r="H45" i="10" s="1"/>
  <c r="H46" i="10" s="1"/>
  <c r="N89" i="9"/>
  <c r="M91" i="9"/>
  <c r="L96" i="9"/>
  <c r="L102" i="9"/>
  <c r="L103" i="9" s="1"/>
  <c r="L97" i="9"/>
  <c r="L106" i="9"/>
  <c r="G63" i="20" l="1"/>
  <c r="O77" i="20"/>
  <c r="P75" i="20"/>
  <c r="H61" i="20"/>
  <c r="H19" i="20"/>
  <c r="H55" i="20"/>
  <c r="H57" i="20" s="1"/>
  <c r="H58" i="20" s="1"/>
  <c r="H59" i="20" s="1"/>
  <c r="J50" i="20"/>
  <c r="I46" i="20"/>
  <c r="O24" i="20"/>
  <c r="Q53" i="20"/>
  <c r="P51" i="20"/>
  <c r="H49" i="10"/>
  <c r="H51" i="10" s="1"/>
  <c r="I62" i="10"/>
  <c r="J60" i="10"/>
  <c r="I40" i="10"/>
  <c r="I42" i="10" s="1"/>
  <c r="I44" i="10" s="1"/>
  <c r="J39" i="10"/>
  <c r="I48" i="10"/>
  <c r="M96" i="9"/>
  <c r="M102" i="9"/>
  <c r="M103" i="9" s="1"/>
  <c r="M106" i="9"/>
  <c r="M97" i="9"/>
  <c r="O89" i="9"/>
  <c r="O91" i="9" s="1"/>
  <c r="N91" i="9"/>
  <c r="H63" i="20" l="1"/>
  <c r="H65" i="20" s="1"/>
  <c r="P77" i="20"/>
  <c r="Q75" i="20"/>
  <c r="I19" i="20"/>
  <c r="I61" i="20"/>
  <c r="I55" i="20"/>
  <c r="I57" i="20" s="1"/>
  <c r="I58" i="20" s="1"/>
  <c r="I59" i="20" s="1"/>
  <c r="K50" i="20"/>
  <c r="J46" i="20"/>
  <c r="R53" i="20"/>
  <c r="Q51" i="20"/>
  <c r="P24" i="20"/>
  <c r="K60" i="10"/>
  <c r="J62" i="10"/>
  <c r="J40" i="10"/>
  <c r="J42" i="10" s="1"/>
  <c r="J44" i="10" s="1"/>
  <c r="J45" i="10" s="1"/>
  <c r="J46" i="10" s="1"/>
  <c r="J48" i="10"/>
  <c r="K39" i="10"/>
  <c r="I45" i="10"/>
  <c r="I46" i="10" s="1"/>
  <c r="I49" i="10" s="1"/>
  <c r="I51" i="10" s="1"/>
  <c r="N97" i="9"/>
  <c r="N96" i="9"/>
  <c r="N106" i="9"/>
  <c r="N102" i="9"/>
  <c r="N103" i="9" s="1"/>
  <c r="O102" i="9"/>
  <c r="O103" i="9" s="1"/>
  <c r="O97" i="9"/>
  <c r="O106" i="9"/>
  <c r="O96" i="9"/>
  <c r="I63" i="20" l="1"/>
  <c r="I65" i="20" s="1"/>
  <c r="Q77" i="20"/>
  <c r="R75" i="20"/>
  <c r="J19" i="20"/>
  <c r="J61" i="20"/>
  <c r="J55" i="20"/>
  <c r="J57" i="20" s="1"/>
  <c r="J58" i="20" s="1"/>
  <c r="J59" i="20" s="1"/>
  <c r="L50" i="20"/>
  <c r="K46" i="20"/>
  <c r="Q24" i="20"/>
  <c r="S53" i="20"/>
  <c r="R51" i="20"/>
  <c r="L60" i="10"/>
  <c r="K62" i="10"/>
  <c r="K48" i="10"/>
  <c r="L39" i="10"/>
  <c r="K40" i="10"/>
  <c r="K42" i="10" s="1"/>
  <c r="K44" i="10" s="1"/>
  <c r="K45" i="10" s="1"/>
  <c r="K46" i="10" s="1"/>
  <c r="J49" i="10"/>
  <c r="J51" i="10" s="1"/>
  <c r="J63" i="20" l="1"/>
  <c r="J65" i="20" s="1"/>
  <c r="R77" i="20"/>
  <c r="S75" i="20"/>
  <c r="K61" i="20"/>
  <c r="K19" i="20"/>
  <c r="K55" i="20"/>
  <c r="K57" i="20" s="1"/>
  <c r="K58" i="20" s="1"/>
  <c r="K59" i="20" s="1"/>
  <c r="L46" i="20"/>
  <c r="M50" i="20"/>
  <c r="R24" i="20"/>
  <c r="T53" i="20"/>
  <c r="S51" i="20"/>
  <c r="K49" i="10"/>
  <c r="K51" i="10" s="1"/>
  <c r="L62" i="10"/>
  <c r="M60" i="10"/>
  <c r="L40" i="10"/>
  <c r="L42" i="10" s="1"/>
  <c r="L44" i="10" s="1"/>
  <c r="L45" i="10" s="1"/>
  <c r="L46" i="10" s="1"/>
  <c r="L48" i="10"/>
  <c r="M39" i="10"/>
  <c r="K63" i="20" l="1"/>
  <c r="K65" i="20" s="1"/>
  <c r="S77" i="20"/>
  <c r="T75" i="20"/>
  <c r="M46" i="20"/>
  <c r="N50" i="20"/>
  <c r="L19" i="20"/>
  <c r="L61" i="20"/>
  <c r="L55" i="20"/>
  <c r="L57" i="20" s="1"/>
  <c r="L58" i="20" s="1"/>
  <c r="L59" i="20" s="1"/>
  <c r="U53" i="20"/>
  <c r="T51" i="20"/>
  <c r="S24" i="20"/>
  <c r="M62" i="10"/>
  <c r="N60" i="10"/>
  <c r="N39" i="10"/>
  <c r="M48" i="10"/>
  <c r="M40" i="10"/>
  <c r="M42" i="10" s="1"/>
  <c r="M44" i="10" s="1"/>
  <c r="M45" i="10" s="1"/>
  <c r="M46" i="10" s="1"/>
  <c r="L49" i="10"/>
  <c r="L63" i="20" l="1"/>
  <c r="L65" i="20" s="1"/>
  <c r="T77" i="20"/>
  <c r="U75" i="20"/>
  <c r="N46" i="20"/>
  <c r="O50" i="20"/>
  <c r="M61" i="20"/>
  <c r="M19" i="20"/>
  <c r="M55" i="20"/>
  <c r="M57" i="20" s="1"/>
  <c r="M58" i="20" s="1"/>
  <c r="M59" i="20" s="1"/>
  <c r="T24" i="20"/>
  <c r="V53" i="20"/>
  <c r="V51" i="20" s="1"/>
  <c r="U51" i="20"/>
  <c r="M49" i="10"/>
  <c r="M51" i="10" s="1"/>
  <c r="N62" i="10"/>
  <c r="O60" i="10"/>
  <c r="N48" i="10"/>
  <c r="N40" i="10"/>
  <c r="N42" i="10" s="1"/>
  <c r="N44" i="10" s="1"/>
  <c r="N45" i="10" s="1"/>
  <c r="N46" i="10" s="1"/>
  <c r="O39" i="10"/>
  <c r="M63" i="20" l="1"/>
  <c r="M65" i="20" s="1"/>
  <c r="U77" i="20"/>
  <c r="V75" i="20"/>
  <c r="V77" i="20" s="1"/>
  <c r="P50" i="20"/>
  <c r="O46" i="20"/>
  <c r="N61" i="20"/>
  <c r="N19" i="20"/>
  <c r="N55" i="20"/>
  <c r="N57" i="20" s="1"/>
  <c r="U24" i="20"/>
  <c r="V24" i="20"/>
  <c r="P60" i="10"/>
  <c r="O62" i="10"/>
  <c r="O48" i="10"/>
  <c r="O40" i="10"/>
  <c r="O42" i="10" s="1"/>
  <c r="O44" i="10" s="1"/>
  <c r="O45" i="10" s="1"/>
  <c r="O46" i="10" s="1"/>
  <c r="P39" i="10"/>
  <c r="N49" i="10"/>
  <c r="N58" i="20" l="1"/>
  <c r="N59" i="20" s="1"/>
  <c r="N63" i="20" s="1"/>
  <c r="N65" i="20" s="1"/>
  <c r="O61" i="20"/>
  <c r="O19" i="20"/>
  <c r="O55" i="20"/>
  <c r="O57" i="20" s="1"/>
  <c r="O58" i="20" s="1"/>
  <c r="O59" i="20" s="1"/>
  <c r="Q50" i="20"/>
  <c r="P46" i="20"/>
  <c r="O49" i="10"/>
  <c r="O51" i="10" s="1"/>
  <c r="Q60" i="10"/>
  <c r="P62" i="10"/>
  <c r="P48" i="10"/>
  <c r="Q39" i="10"/>
  <c r="P40" i="10"/>
  <c r="P42" i="10" s="1"/>
  <c r="P44" i="10" s="1"/>
  <c r="P45" i="10" s="1"/>
  <c r="P46" i="10" s="1"/>
  <c r="N51" i="10"/>
  <c r="O63" i="20" l="1"/>
  <c r="O65" i="20" s="1"/>
  <c r="R50" i="20"/>
  <c r="Q46" i="20"/>
  <c r="P19" i="20"/>
  <c r="P61" i="20"/>
  <c r="P55" i="20"/>
  <c r="P57" i="20" s="1"/>
  <c r="P58" i="20" s="1"/>
  <c r="P59" i="20" s="1"/>
  <c r="R60" i="10"/>
  <c r="Q62" i="10"/>
  <c r="P49" i="10"/>
  <c r="R39" i="10"/>
  <c r="Q48" i="10"/>
  <c r="Q40" i="10"/>
  <c r="Q42" i="10" s="1"/>
  <c r="Q44" i="10" s="1"/>
  <c r="Q45" i="10" s="1"/>
  <c r="Q46" i="10" s="1"/>
  <c r="P63" i="20" l="1"/>
  <c r="P65" i="20" s="1"/>
  <c r="Q61" i="20"/>
  <c r="Q19" i="20"/>
  <c r="Q55" i="20"/>
  <c r="Q57" i="20" s="1"/>
  <c r="Q58" i="20" s="1"/>
  <c r="Q59" i="20" s="1"/>
  <c r="S50" i="20"/>
  <c r="R46" i="20"/>
  <c r="Q49" i="10"/>
  <c r="Q51" i="10" s="1"/>
  <c r="R62" i="10"/>
  <c r="S60" i="10"/>
  <c r="R40" i="10"/>
  <c r="R42" i="10" s="1"/>
  <c r="R44" i="10" s="1"/>
  <c r="R45" i="10" s="1"/>
  <c r="R46" i="10" s="1"/>
  <c r="R48" i="10"/>
  <c r="S39" i="10"/>
  <c r="P51" i="10"/>
  <c r="R19" i="20" l="1"/>
  <c r="R61" i="20"/>
  <c r="R55" i="20"/>
  <c r="R57" i="20" s="1"/>
  <c r="R58" i="20" s="1"/>
  <c r="R59" i="20" s="1"/>
  <c r="S46" i="20"/>
  <c r="T50" i="20"/>
  <c r="Q63" i="20"/>
  <c r="S62" i="10"/>
  <c r="T60" i="10"/>
  <c r="T39" i="10"/>
  <c r="S48" i="10"/>
  <c r="S40" i="10"/>
  <c r="S42" i="10" s="1"/>
  <c r="S44" i="10" s="1"/>
  <c r="S45" i="10" s="1"/>
  <c r="S46" i="10" s="1"/>
  <c r="R49" i="10"/>
  <c r="R63" i="20" l="1"/>
  <c r="R65" i="20" s="1"/>
  <c r="U50" i="20"/>
  <c r="T46" i="20"/>
  <c r="S61" i="20"/>
  <c r="S19" i="20"/>
  <c r="S55" i="20"/>
  <c r="S57" i="20" s="1"/>
  <c r="S58" i="20" s="1"/>
  <c r="S59" i="20" s="1"/>
  <c r="T62" i="10"/>
  <c r="U60" i="10"/>
  <c r="R51" i="10"/>
  <c r="S49" i="10"/>
  <c r="S51" i="10" s="1"/>
  <c r="T48" i="10"/>
  <c r="T40" i="10"/>
  <c r="T42" i="10" s="1"/>
  <c r="T44" i="10" s="1"/>
  <c r="T45" i="10" s="1"/>
  <c r="T46" i="10" s="1"/>
  <c r="U39" i="10"/>
  <c r="T49" i="10" l="1"/>
  <c r="T51" i="10" s="1"/>
  <c r="S63" i="20"/>
  <c r="T19" i="20"/>
  <c r="T61" i="20"/>
  <c r="T55" i="20"/>
  <c r="T57" i="20" s="1"/>
  <c r="T58" i="20" s="1"/>
  <c r="T59" i="20" s="1"/>
  <c r="V50" i="20"/>
  <c r="V46" i="20" s="1"/>
  <c r="U46" i="20"/>
  <c r="U62" i="10"/>
  <c r="V60" i="10"/>
  <c r="V62" i="10" s="1"/>
  <c r="U40" i="10"/>
  <c r="U42" i="10" s="1"/>
  <c r="U44" i="10" s="1"/>
  <c r="U45" i="10" s="1"/>
  <c r="U46" i="10" s="1"/>
  <c r="V39" i="10"/>
  <c r="U48" i="10"/>
  <c r="T63" i="20" l="1"/>
  <c r="T65" i="20" s="1"/>
  <c r="V19" i="20"/>
  <c r="V61" i="20"/>
  <c r="V55" i="20"/>
  <c r="V57" i="20" s="1"/>
  <c r="V58" i="20" s="1"/>
  <c r="V59" i="20" s="1"/>
  <c r="U61" i="20"/>
  <c r="U19" i="20"/>
  <c r="U55" i="20"/>
  <c r="U57" i="20" s="1"/>
  <c r="S65" i="20"/>
  <c r="V48" i="10"/>
  <c r="L35" i="10" s="1"/>
  <c r="L51" i="10" s="1"/>
  <c r="V40" i="10"/>
  <c r="V42" i="10" s="1"/>
  <c r="V44" i="10" s="1"/>
  <c r="V45" i="10" s="1"/>
  <c r="V46" i="10" s="1"/>
  <c r="U49" i="10"/>
  <c r="Q42" i="20" l="1"/>
  <c r="Q65" i="20" s="1"/>
  <c r="V42" i="20"/>
  <c r="V63" i="20"/>
  <c r="U58" i="20"/>
  <c r="U59" i="20" s="1"/>
  <c r="G42" i="20"/>
  <c r="G65" i="20" s="1"/>
  <c r="G66" i="20" s="1"/>
  <c r="H66" i="20" s="1"/>
  <c r="I66" i="20" s="1"/>
  <c r="J66" i="20" s="1"/>
  <c r="K66" i="20" s="1"/>
  <c r="L66" i="20" s="1"/>
  <c r="M66" i="20" s="1"/>
  <c r="N66" i="20" s="1"/>
  <c r="O66" i="20" s="1"/>
  <c r="P66" i="20" s="1"/>
  <c r="V49" i="10"/>
  <c r="V51" i="10" s="1"/>
  <c r="C56" i="10"/>
  <c r="U51" i="10"/>
  <c r="C55" i="10"/>
  <c r="Q66" i="20" l="1"/>
  <c r="R66" i="20" s="1"/>
  <c r="S66" i="20" s="1"/>
  <c r="T66" i="20" s="1"/>
  <c r="V65" i="20"/>
  <c r="U63" i="20"/>
  <c r="C71" i="20"/>
  <c r="C54" i="10"/>
  <c r="H77" i="9" s="1"/>
  <c r="U65" i="20" l="1"/>
  <c r="C70" i="20"/>
  <c r="U66" i="20" l="1"/>
  <c r="V66" i="20" s="1"/>
  <c r="C69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<sst xmlns="http://schemas.openxmlformats.org/spreadsheetml/2006/main" count="765" uniqueCount="389">
  <si>
    <t>Current</t>
  </si>
  <si>
    <t>Weight %</t>
  </si>
  <si>
    <t>LHV (kJ/kg) DAF</t>
  </si>
  <si>
    <t>Moisture Content %</t>
  </si>
  <si>
    <t>NCV (kJ/kg) AR</t>
  </si>
  <si>
    <t>Food/ Kitchen</t>
  </si>
  <si>
    <t>Garden</t>
  </si>
  <si>
    <t>Recycable Paper</t>
  </si>
  <si>
    <t>Recycable Metal</t>
  </si>
  <si>
    <t>Recycable Plastic</t>
  </si>
  <si>
    <t>Recycable Glass</t>
  </si>
  <si>
    <t>Other Fine Material</t>
  </si>
  <si>
    <t>Other putrescible</t>
  </si>
  <si>
    <t>Organic other</t>
  </si>
  <si>
    <t>Household Hazardous</t>
  </si>
  <si>
    <t>Others</t>
  </si>
  <si>
    <t>Non-Recyclable Paper</t>
  </si>
  <si>
    <t>Non-Recyclable Metal</t>
  </si>
  <si>
    <t>Non-Recylable Plastic</t>
  </si>
  <si>
    <t>Non-Recyclable Glass</t>
  </si>
  <si>
    <t>Feedstock Handling and Sorting</t>
  </si>
  <si>
    <t xml:space="preserve">Gasification </t>
  </si>
  <si>
    <t>Power Gen</t>
  </si>
  <si>
    <t>Annual Capacity</t>
  </si>
  <si>
    <t>Annual Capacity (kwh)</t>
  </si>
  <si>
    <t>$/tonne annual cap</t>
  </si>
  <si>
    <t>$/kwh</t>
  </si>
  <si>
    <t>Residual</t>
  </si>
  <si>
    <t>CAPEX</t>
  </si>
  <si>
    <t>Rate</t>
  </si>
  <si>
    <t>Periods</t>
  </si>
  <si>
    <t>PMT</t>
  </si>
  <si>
    <t>PMT/kg</t>
  </si>
  <si>
    <t>OPEX% of CAPEX</t>
  </si>
  <si>
    <t>OPEX</t>
  </si>
  <si>
    <t>OPEX/kg</t>
  </si>
  <si>
    <t xml:space="preserve">kg per Tonne </t>
  </si>
  <si>
    <t>Value ($/kg)</t>
  </si>
  <si>
    <t>Total Value per Tonne</t>
  </si>
  <si>
    <t>Total Value</t>
  </si>
  <si>
    <t>Fines</t>
  </si>
  <si>
    <t>Weight</t>
  </si>
  <si>
    <t>Kg per Tonne</t>
  </si>
  <si>
    <t>Light SRF</t>
  </si>
  <si>
    <t>Energy/ Gas Gen (GJ)</t>
  </si>
  <si>
    <t>Gate Fee</t>
  </si>
  <si>
    <t>Heacy SRF</t>
  </si>
  <si>
    <t>Char</t>
  </si>
  <si>
    <t>Metals</t>
  </si>
  <si>
    <t>Glass</t>
  </si>
  <si>
    <t xml:space="preserve">CO2 </t>
  </si>
  <si>
    <t>Total Value per Tonne of Feed</t>
  </si>
  <si>
    <t>Heavy SRF</t>
  </si>
  <si>
    <t>Avg Prod Value</t>
  </si>
  <si>
    <t>Margin</t>
  </si>
  <si>
    <t>$/kg</t>
  </si>
  <si>
    <t>Base $/GJ</t>
  </si>
  <si>
    <t>LSRF Discount</t>
  </si>
  <si>
    <t>LSRF $/GJ</t>
  </si>
  <si>
    <t>HSRF Discount</t>
  </si>
  <si>
    <t>HSRF $/GJ</t>
  </si>
  <si>
    <t>Low Case ($/T)</t>
  </si>
  <si>
    <t>High Case ($/T)</t>
  </si>
  <si>
    <t>Recovered Material</t>
  </si>
  <si>
    <t>CO2 linked to Energy</t>
  </si>
  <si>
    <t>Gate Fee* CPI Adj</t>
  </si>
  <si>
    <t>CAPEX Savings</t>
  </si>
  <si>
    <t>OPEX Savings</t>
  </si>
  <si>
    <t>Imprv. Recovered Material Markets</t>
  </si>
  <si>
    <t>CO2 Credits Obtained</t>
  </si>
  <si>
    <t>Imprv. Char Markets</t>
  </si>
  <si>
    <t>Marigin</t>
  </si>
  <si>
    <t>Equity Analysis of a Project</t>
  </si>
  <si>
    <t>INPUT SHEET: USER ENTERS ALL BOLD NUMBERS</t>
  </si>
  <si>
    <t>INITIAL INVESTMENT</t>
  </si>
  <si>
    <t>CASHFLOW DETAILS</t>
  </si>
  <si>
    <t>DISCOUNT RATE</t>
  </si>
  <si>
    <t>Initial Investment=</t>
  </si>
  <si>
    <t>Tax rate on net income=</t>
  </si>
  <si>
    <t>Approach(1:Direct;2:CAPM)=</t>
  </si>
  <si>
    <t>Opportunity cost (if any)=</t>
  </si>
  <si>
    <t>1. Discount rate =</t>
  </si>
  <si>
    <t>Lifetime of the investment</t>
  </si>
  <si>
    <t>2a. Beta</t>
  </si>
  <si>
    <t>Salvage Value at end of project=</t>
  </si>
  <si>
    <t xml:space="preserve"> b. Riskless rate=</t>
  </si>
  <si>
    <t>Deprec. method(1:St.line;2:DDB)=</t>
  </si>
  <si>
    <t xml:space="preserve"> c. Market risk premium =</t>
  </si>
  <si>
    <t>Tax Credit (if any )=</t>
  </si>
  <si>
    <t xml:space="preserve"> d. Debt Ratio =</t>
  </si>
  <si>
    <t>Other invest.(non-depreciable)=</t>
  </si>
  <si>
    <t xml:space="preserve"> e. Cost of Borrowing =</t>
  </si>
  <si>
    <t>Discount rate used=</t>
  </si>
  <si>
    <t>WORKING CAPITAL</t>
  </si>
  <si>
    <t>Initial Investment in Work. Cap=</t>
  </si>
  <si>
    <t>Working Capital as % of Rev=</t>
  </si>
  <si>
    <t>Salvageable fraction at end=</t>
  </si>
  <si>
    <t>GROWTH RATES</t>
  </si>
  <si>
    <t>Revenues</t>
  </si>
  <si>
    <t>Do not enter</t>
  </si>
  <si>
    <t>+Gate Fee</t>
  </si>
  <si>
    <t>+Recycable Material</t>
  </si>
  <si>
    <t>+Energy</t>
  </si>
  <si>
    <t>+Other</t>
  </si>
  <si>
    <t>Operating Expenses</t>
  </si>
  <si>
    <t>-O&amp;M Variable</t>
  </si>
  <si>
    <t>-O&amp;M Fixed</t>
  </si>
  <si>
    <t>-Other</t>
  </si>
  <si>
    <t>YEAR</t>
  </si>
  <si>
    <t>INVESTMENTS</t>
  </si>
  <si>
    <t>Investment</t>
  </si>
  <si>
    <t xml:space="preserve"> - Tax Credit</t>
  </si>
  <si>
    <t>Net Investment</t>
  </si>
  <si>
    <t xml:space="preserve"> + Working Cap</t>
  </si>
  <si>
    <t xml:space="preserve"> + Opp. Cost</t>
  </si>
  <si>
    <t xml:space="preserve"> + Other invest.</t>
  </si>
  <si>
    <t>Investments</t>
  </si>
  <si>
    <t>SALVAGE VALUE</t>
  </si>
  <si>
    <t>Equipment</t>
  </si>
  <si>
    <t>Working Capital</t>
  </si>
  <si>
    <t>OPERATING CASHFLOWS</t>
  </si>
  <si>
    <t>Lifetime Index</t>
  </si>
  <si>
    <t>+Recycable</t>
  </si>
  <si>
    <t>EBITDA</t>
  </si>
  <si>
    <t xml:space="preserve"> - Depreciation</t>
  </si>
  <si>
    <t>EBIT</t>
  </si>
  <si>
    <t xml:space="preserve"> -Tax</t>
  </si>
  <si>
    <t>EBT(1-t)</t>
  </si>
  <si>
    <t xml:space="preserve"> + Depreciation</t>
  </si>
  <si>
    <t xml:space="preserve"> - ∂ Work. Cap</t>
  </si>
  <si>
    <t>Capital Investment</t>
  </si>
  <si>
    <t>NATCF</t>
  </si>
  <si>
    <t>Discount Factor</t>
  </si>
  <si>
    <t>Discounted CF</t>
  </si>
  <si>
    <t>Cumulative CF</t>
  </si>
  <si>
    <t>Investment Measures</t>
  </si>
  <si>
    <t>NPV =</t>
  </si>
  <si>
    <t>IRR =</t>
  </si>
  <si>
    <t>ROC =</t>
  </si>
  <si>
    <t>BOOK VALUE &amp; DEPRECIATION</t>
  </si>
  <si>
    <t>Book Value (beginning)</t>
  </si>
  <si>
    <t>Depreciation</t>
  </si>
  <si>
    <t>BV(ending)</t>
  </si>
  <si>
    <t>Unprocessed Feed</t>
  </si>
  <si>
    <t>Model Parameters</t>
  </si>
  <si>
    <t>Revenue Assumptions</t>
  </si>
  <si>
    <t>Annual Quantity</t>
  </si>
  <si>
    <t>MT/yr</t>
  </si>
  <si>
    <t>Ratability (Days/ Year)</t>
  </si>
  <si>
    <t>Feed Composition (wt % wb)</t>
  </si>
  <si>
    <t xml:space="preserve">Non - Combustible </t>
  </si>
  <si>
    <t>Parameter</t>
  </si>
  <si>
    <t>Value</t>
  </si>
  <si>
    <t>Units</t>
  </si>
  <si>
    <t>Comments</t>
  </si>
  <si>
    <t>Stream</t>
  </si>
  <si>
    <t>Maximum Rate</t>
  </si>
  <si>
    <t>MT/hr</t>
  </si>
  <si>
    <t>Maximum (% of Typical)</t>
  </si>
  <si>
    <t>Moisture</t>
  </si>
  <si>
    <t>Volatile Matter</t>
  </si>
  <si>
    <t>Fixed Carbon</t>
  </si>
  <si>
    <t>Ash</t>
  </si>
  <si>
    <t>Ferrous Metals</t>
  </si>
  <si>
    <t xml:space="preserve">Aluminium </t>
  </si>
  <si>
    <t>Enthalpy Change h2O Drier</t>
  </si>
  <si>
    <t>kJ/kg</t>
  </si>
  <si>
    <t>25 to 100 deg C steam</t>
  </si>
  <si>
    <t>Thermal Value</t>
  </si>
  <si>
    <t>AUD/GJ</t>
  </si>
  <si>
    <t>Minimum Rate</t>
  </si>
  <si>
    <t>Minimum (% of Typical)</t>
  </si>
  <si>
    <t>Specific Heat Drier Gas</t>
  </si>
  <si>
    <t>kJ/kg/C</t>
  </si>
  <si>
    <t>Char Value</t>
  </si>
  <si>
    <t>AUD/kg</t>
  </si>
  <si>
    <t>Typical Rate</t>
  </si>
  <si>
    <t>Natural Ratability (Days/year)</t>
  </si>
  <si>
    <t xml:space="preserve">Total </t>
  </si>
  <si>
    <t>Enthalpy Change feed</t>
  </si>
  <si>
    <t>Linked to Reactor Temp</t>
  </si>
  <si>
    <t>Waste Disposal Fee/ (cost)</t>
  </si>
  <si>
    <t>Storage</t>
  </si>
  <si>
    <t>m3</t>
  </si>
  <si>
    <t>Enthalpy Change h2O Gasifier</t>
  </si>
  <si>
    <t>Linked to Ox Temp</t>
  </si>
  <si>
    <t>Electricity Value</t>
  </si>
  <si>
    <t>AUD/kWh</t>
  </si>
  <si>
    <t>Air Required</t>
  </si>
  <si>
    <t>kg/kg</t>
  </si>
  <si>
    <t>of fuel burnt</t>
  </si>
  <si>
    <t>Water Value</t>
  </si>
  <si>
    <t>Supplemental Feed</t>
  </si>
  <si>
    <t>Enthalpy Change Air</t>
  </si>
  <si>
    <t>Supp Feed Value/ (Cost)</t>
  </si>
  <si>
    <t>Heat Loss</t>
  </si>
  <si>
    <t>%</t>
  </si>
  <si>
    <t>% of Qfuel</t>
  </si>
  <si>
    <t>GHG Credit Value</t>
  </si>
  <si>
    <t>XS Air</t>
  </si>
  <si>
    <t>Linked to Gasification Unit</t>
  </si>
  <si>
    <t>Dewatered Product Value</t>
  </si>
  <si>
    <t>Dryer Efficiency</t>
  </si>
  <si>
    <t>of water removal</t>
  </si>
  <si>
    <t>Dried Product Value</t>
  </si>
  <si>
    <t>Bulk Density Feed</t>
  </si>
  <si>
    <t>kg/m3</t>
  </si>
  <si>
    <t>Weighted Feed Value/ (Cost)</t>
  </si>
  <si>
    <t>Metal Value</t>
  </si>
  <si>
    <t>Cost Assumptions</t>
  </si>
  <si>
    <t>Blended Feed</t>
  </si>
  <si>
    <t>O&amp;M Summary</t>
  </si>
  <si>
    <t>O&amp;M Assumptions</t>
  </si>
  <si>
    <t>Storage Cost</t>
  </si>
  <si>
    <t>$/m3</t>
  </si>
  <si>
    <t>Mgmt OvHd</t>
  </si>
  <si>
    <t>TIC Electrical Gen</t>
  </si>
  <si>
    <t>AUD/kW</t>
  </si>
  <si>
    <t>Direct SWB</t>
  </si>
  <si>
    <t>Hrs/ Day</t>
  </si>
  <si>
    <t>Exchange Rate</t>
  </si>
  <si>
    <t>USD/AUD</t>
  </si>
  <si>
    <t>Days/ Year</t>
  </si>
  <si>
    <t>Interest Rate</t>
  </si>
  <si>
    <t>Energy Costs</t>
  </si>
  <si>
    <t>Number of Ops positions</t>
  </si>
  <si>
    <t>Loan Length</t>
  </si>
  <si>
    <t>years</t>
  </si>
  <si>
    <t>Other</t>
  </si>
  <si>
    <t>hrs per Shift</t>
  </si>
  <si>
    <t>Leverage</t>
  </si>
  <si>
    <t>shifts per week</t>
  </si>
  <si>
    <t>CAPEX Discount</t>
  </si>
  <si>
    <t>Direct Maintenance</t>
  </si>
  <si>
    <t>working hours a week</t>
  </si>
  <si>
    <t>Dewater</t>
  </si>
  <si>
    <t>Dewatered Product</t>
  </si>
  <si>
    <t>Water Treatment Cost</t>
  </si>
  <si>
    <t>AUD/m3</t>
  </si>
  <si>
    <t>Accrued Maintenance</t>
  </si>
  <si>
    <t>maximum shifts per person</t>
  </si>
  <si>
    <t>Feed to Dewatering</t>
  </si>
  <si>
    <t xml:space="preserve">% of Blended </t>
  </si>
  <si>
    <t>kg/hr</t>
  </si>
  <si>
    <t>Sold</t>
  </si>
  <si>
    <t>Required Number of shift groups</t>
  </si>
  <si>
    <t>%DS</t>
  </si>
  <si>
    <t>Sale Fraction</t>
  </si>
  <si>
    <t>NCV AR</t>
  </si>
  <si>
    <t>number of Operators</t>
  </si>
  <si>
    <t>Total Feed</t>
  </si>
  <si>
    <t>Gasification Cost Assumptions</t>
  </si>
  <si>
    <t xml:space="preserve">Average Salary </t>
  </si>
  <si>
    <t>Solids</t>
  </si>
  <si>
    <t>Feed Rate (kg/hr)</t>
  </si>
  <si>
    <t>Gassification Costs (KUSD)</t>
  </si>
  <si>
    <t>TIC  Factor</t>
  </si>
  <si>
    <t>TIC KUSD</t>
  </si>
  <si>
    <t>TIC KAUD</t>
  </si>
  <si>
    <t>Maximum GJ/hr</t>
  </si>
  <si>
    <t>Water In</t>
  </si>
  <si>
    <t>% of SWB</t>
  </si>
  <si>
    <t>Water Removed</t>
  </si>
  <si>
    <t>Water Remaining</t>
  </si>
  <si>
    <t>Total Ash</t>
  </si>
  <si>
    <t>Energy Requirement</t>
  </si>
  <si>
    <t>kW</t>
  </si>
  <si>
    <t>AUD/hr</t>
  </si>
  <si>
    <t>Dryer</t>
  </si>
  <si>
    <t>Feed to Dryer</t>
  </si>
  <si>
    <t>% of DeW or Blended</t>
  </si>
  <si>
    <t>Dried Product</t>
  </si>
  <si>
    <t>Thermal</t>
  </si>
  <si>
    <t>% of TIC</t>
  </si>
  <si>
    <t>Condensing Service</t>
  </si>
  <si>
    <t>Yes/No</t>
  </si>
  <si>
    <t>Water Removal</t>
  </si>
  <si>
    <t>Recovery</t>
  </si>
  <si>
    <t>Outlet Temp</t>
  </si>
  <si>
    <t>deg C</t>
  </si>
  <si>
    <t>Specific Heat</t>
  </si>
  <si>
    <t>Valuable Energy</t>
  </si>
  <si>
    <t>GJ/hr</t>
  </si>
  <si>
    <t>CAPEX Assumptions</t>
  </si>
  <si>
    <t>Check</t>
  </si>
  <si>
    <t>CAPEX (AUD)</t>
  </si>
  <si>
    <t>Gasification Flue</t>
  </si>
  <si>
    <t>Material Handling</t>
  </si>
  <si>
    <t>Recycled Flue</t>
  </si>
  <si>
    <t>Electricity Gen</t>
  </si>
  <si>
    <t>Total Drier Flow</t>
  </si>
  <si>
    <t>Straight Feed</t>
  </si>
  <si>
    <t>Service</t>
  </si>
  <si>
    <t>Yes/ No</t>
  </si>
  <si>
    <t>Recycle Temp</t>
  </si>
  <si>
    <t>Efficiency</t>
  </si>
  <si>
    <t>Gasification</t>
  </si>
  <si>
    <t>Inlet Temp</t>
  </si>
  <si>
    <t>KW</t>
  </si>
  <si>
    <t>Minimum Outlet Temp</t>
  </si>
  <si>
    <t>Drier Cost Assumptions</t>
  </si>
  <si>
    <t>Balance of Plant</t>
  </si>
  <si>
    <t>Minimum Flow Rate</t>
  </si>
  <si>
    <t>Resource Recovery</t>
  </si>
  <si>
    <t>Water Removal (kg/hr)</t>
  </si>
  <si>
    <t>Drier Costs (KUSD)</t>
  </si>
  <si>
    <t>Ash/ Char Recovery</t>
  </si>
  <si>
    <t>Fraction of Flue Q</t>
  </si>
  <si>
    <t xml:space="preserve">Electrical </t>
  </si>
  <si>
    <t>Fraction of Flue Flow</t>
  </si>
  <si>
    <t>Civil</t>
  </si>
  <si>
    <t>Actual Outlet Temp</t>
  </si>
  <si>
    <t>AUD</t>
  </si>
  <si>
    <t>Site and Buildings</t>
  </si>
  <si>
    <t>Qt</t>
  </si>
  <si>
    <t>Discount</t>
  </si>
  <si>
    <t>Gasifier</t>
  </si>
  <si>
    <t>Flue</t>
  </si>
  <si>
    <t>Water Useable</t>
  </si>
  <si>
    <t>Water Recovered</t>
  </si>
  <si>
    <t>GHG Credits</t>
  </si>
  <si>
    <t>kg/kg of feed wb</t>
  </si>
  <si>
    <t>kg/kg of Char</t>
  </si>
  <si>
    <t>Dewatering Cost  Assumptions</t>
  </si>
  <si>
    <t>QIn</t>
  </si>
  <si>
    <t>QOut</t>
  </si>
  <si>
    <t>Dewatering Costs (KUSD/kg/hr f)</t>
  </si>
  <si>
    <t>Dewater Costs (KUSD)</t>
  </si>
  <si>
    <t>Rate kg/hr</t>
  </si>
  <si>
    <t>DAF kg/hr</t>
  </si>
  <si>
    <t>Qfuel (GJ/hr)</t>
  </si>
  <si>
    <t>Qfeed (GJ/hr)</t>
  </si>
  <si>
    <t>Qh2O (GJ/hr)</t>
  </si>
  <si>
    <t>Qair (GJ/hr)</t>
  </si>
  <si>
    <t>Qloss (GJ/hr)</t>
  </si>
  <si>
    <t>Balance (GJ/hr)</t>
  </si>
  <si>
    <t>Max GJ/hr</t>
  </si>
  <si>
    <t>Unburnt Fuel (kg/hr)</t>
  </si>
  <si>
    <t>Air (kg/hr)</t>
  </si>
  <si>
    <t>Reactor Temp</t>
  </si>
  <si>
    <t>Oxidizer Temp</t>
  </si>
  <si>
    <t>Ash (kg/hr)</t>
  </si>
  <si>
    <t>Water (kg/hr)</t>
  </si>
  <si>
    <t>Char %</t>
  </si>
  <si>
    <t>Income Statement</t>
  </si>
  <si>
    <t>Waste Disposal</t>
  </si>
  <si>
    <t>Product Sale</t>
  </si>
  <si>
    <t>Thermal Energy</t>
  </si>
  <si>
    <t>NPV (AUD)</t>
  </si>
  <si>
    <t>Water</t>
  </si>
  <si>
    <t>ROE</t>
  </si>
  <si>
    <t>ROA</t>
  </si>
  <si>
    <t>Interest Efficiency</t>
  </si>
  <si>
    <t>Asset Turnover</t>
  </si>
  <si>
    <t>Total Revenue</t>
  </si>
  <si>
    <t>Operating Efficiency</t>
  </si>
  <si>
    <t>Feed Cost</t>
  </si>
  <si>
    <t>O&amp;M Variable</t>
  </si>
  <si>
    <t>Subsidised with Revenues</t>
  </si>
  <si>
    <t>O&amp;M Fixed</t>
  </si>
  <si>
    <t>Full Cost</t>
  </si>
  <si>
    <t>Full Subsidy</t>
  </si>
  <si>
    <t>Revenue</t>
  </si>
  <si>
    <t>Total Installed CAPEX</t>
  </si>
  <si>
    <t>Operating Profit/ (Loss)</t>
  </si>
  <si>
    <t>Interest</t>
  </si>
  <si>
    <t>Total Energy  (GJ/yr)</t>
  </si>
  <si>
    <t>Income before Taxes</t>
  </si>
  <si>
    <t>Net Drying (GJ/yr)</t>
  </si>
  <si>
    <t>Taxes</t>
  </si>
  <si>
    <t>Energy Cost (AUD/GJ)</t>
  </si>
  <si>
    <t>Energy Cost Net Drying  (AUD/GJ)</t>
  </si>
  <si>
    <t>Net Income</t>
  </si>
  <si>
    <t>Electrical Capability (kW) @ 30% eff</t>
  </si>
  <si>
    <t>NOPAT</t>
  </si>
  <si>
    <t>Electricity Gen (kWh) @ 30% eff</t>
  </si>
  <si>
    <t>Total Cost</t>
  </si>
  <si>
    <t>Electricity Cost (AUD/kWh)</t>
  </si>
  <si>
    <t>Benchmark (AUD/GJ)</t>
  </si>
  <si>
    <t xml:space="preserve">Cost Change Required </t>
  </si>
  <si>
    <t>Revenues in  year 1=</t>
  </si>
  <si>
    <t>Var. Expenses as % of Rev=</t>
  </si>
  <si>
    <t>Fixed expenses in year 1=</t>
  </si>
  <si>
    <t>If you do not have the breakdown of fixed and variable</t>
  </si>
  <si>
    <t>expenses, input the entire expense as a % of revenues.</t>
  </si>
  <si>
    <t>Fixed Expenses</t>
  </si>
  <si>
    <t>Default: The fixed expense growth rate is set equal to the growth rate in revenues by default.</t>
  </si>
  <si>
    <t xml:space="preserve"> -Var. Expenses</t>
  </si>
  <si>
    <t xml:space="preserve"> - Fixed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</si>
</sst>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%"/>
    <numFmt numFmtId="170" formatCode="_(* #,##0.0_);_(* \(#,##0.0\);_(* &quot;-&quot;??_);_(@_)"/>
    <numFmt numFmtId="171" formatCode="0.0"/>
    <numFmt numFmtId="172" formatCode="_(* #,##0_);_(* \(#,##0\);_(* &quot;-&quot;??_);_(@_)"/>
    <numFmt numFmtId="173" formatCode="_(&quot;$&quot;* #,##0_);_(&quot;$&quot;* \(#,##0\);_(&quot;$&quot;* &quot;-&quot;??_);_(@_)"/>
    <numFmt numFmtId="174" formatCode="_(* #,##0.000_);_(* \(#,##0.000\);_(* &quot;-&quot;?_);_(@_)"/>
    <numFmt numFmtId="175" formatCode="_(&quot;$&quot;* #,##0.000_);_(&quot;$&quot;* \(#,##0.000\);_(&quot;$&quot;* &quot;-&quot;??_);_(@_)"/>
    <numFmt numFmtId="176" formatCode="_(* #,##0.000_);_(* \(#,##0.000\);_(* &quot;-&quot;??_);_(@_)"/>
    <numFmt numFmtId="177" formatCode="0.000000000000000%"/>
    <numFmt numFmtId="178" formatCode="_(* #,##0_);_(* \(#,##0\);_(* &quot;-&quot;?_);_(@_)"/>
    <numFmt numFmtId="179" formatCode="_(* #,##0_);_(* \(#,##0\);_(* &quot;-&quot;???_);_(@_)"/>
  </numFmts>
  <fonts count="21">
    <font>
      <sz val="10"/>
      <name val="Geneva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name val="Geneva"/>
      <family val="2"/>
    </font>
    <font>
      <b/>
      <i/>
      <sz val="10"/>
      <name val="Geneva"/>
      <family val="2"/>
    </font>
    <font>
      <sz val="10"/>
      <name val="Geneva"/>
      <family val="2"/>
    </font>
    <font>
      <sz val="12"/>
      <name val="Times"/>
      <family val="1"/>
    </font>
    <font>
      <sz val="10"/>
      <name val="Times"/>
      <family val="1"/>
    </font>
    <font>
      <b/>
      <sz val="10"/>
      <name val="Times"/>
      <family val="1"/>
    </font>
    <font>
      <sz val="10"/>
      <name val="Geneva"/>
      <family val="2"/>
    </font>
    <font>
      <i/>
      <sz val="10"/>
      <name val="Times"/>
      <family val="1"/>
    </font>
    <font>
      <b/>
      <i/>
      <sz val="18"/>
      <name val="Geneva"/>
      <family val="2"/>
    </font>
    <font>
      <b/>
      <sz val="10"/>
      <name val="Geneva"/>
      <family val="2"/>
    </font>
    <font>
      <b/>
      <sz val="12"/>
      <color theme="1"/>
      <name val="Calibri"/>
      <family val="2"/>
      <scheme val="minor"/>
    </font>
    <font>
      <sz val="13"/>
      <color rgb="FF2E2E2E"/>
      <name val="Arial"/>
      <family val="2"/>
    </font>
    <font>
      <b/>
      <sz val="12"/>
      <color rgb="FF2E2E2E"/>
      <name val="Calibri"/>
      <family val="2"/>
      <scheme val="minor"/>
    </font>
    <font>
      <sz val="12"/>
      <color rgb="FF2E2E2E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libri (Body)"/>
    </font>
    <font>
      <sz val="10"/>
      <name val="Geneva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19" fillId="0" borderId="0" applyFont="0" applyFill="0" applyBorder="0" applyAlignment="0" applyProtection="0"/>
  </cellStyleXfs>
  <cellXfs count="205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10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10" fillId="0" borderId="0" xfId="0" applyFont="1"/>
    <xf numFmtId="0" fontId="10" fillId="0" borderId="9" xfId="0" applyFont="1" applyBorder="1"/>
    <xf numFmtId="10" fontId="8" fillId="0" borderId="0" xfId="0" applyNumberFormat="1" applyFont="1"/>
    <xf numFmtId="10" fontId="8" fillId="0" borderId="9" xfId="0" applyNumberFormat="1" applyFont="1" applyBorder="1"/>
    <xf numFmtId="164" fontId="7" fillId="0" borderId="0" xfId="0" applyNumberFormat="1" applyFont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164" fontId="7" fillId="0" borderId="14" xfId="0" applyNumberFormat="1" applyFont="1" applyBorder="1"/>
    <xf numFmtId="0" fontId="7" fillId="0" borderId="15" xfId="0" applyFont="1" applyBorder="1"/>
    <xf numFmtId="164" fontId="7" fillId="0" borderId="16" xfId="0" applyNumberFormat="1" applyFont="1" applyBorder="1"/>
    <xf numFmtId="164" fontId="7" fillId="0" borderId="17" xfId="0" applyNumberFormat="1" applyFont="1" applyBorder="1"/>
    <xf numFmtId="0" fontId="8" fillId="0" borderId="1" xfId="0" applyFont="1" applyBorder="1" applyAlignment="1">
      <alignment horizontal="centerContinuous"/>
    </xf>
    <xf numFmtId="0" fontId="8" fillId="0" borderId="3" xfId="0" applyFont="1" applyBorder="1" applyAlignment="1">
      <alignment horizontal="centerContinuous"/>
    </xf>
    <xf numFmtId="0" fontId="8" fillId="0" borderId="4" xfId="0" applyFont="1" applyBorder="1"/>
    <xf numFmtId="164" fontId="8" fillId="0" borderId="9" xfId="0" applyNumberFormat="1" applyFont="1" applyBorder="1"/>
    <xf numFmtId="0" fontId="8" fillId="0" borderId="6" xfId="0" applyFont="1" applyBorder="1"/>
    <xf numFmtId="10" fontId="8" fillId="0" borderId="18" xfId="0" applyNumberFormat="1" applyFont="1" applyBorder="1"/>
    <xf numFmtId="0" fontId="4" fillId="0" borderId="0" xfId="0" applyFont="1"/>
    <xf numFmtId="0" fontId="11" fillId="0" borderId="0" xfId="0" applyFont="1" applyAlignment="1">
      <alignment horizontal="centerContinuous"/>
    </xf>
    <xf numFmtId="0" fontId="7" fillId="0" borderId="19" xfId="0" applyFont="1" applyBorder="1"/>
    <xf numFmtId="164" fontId="7" fillId="0" borderId="19" xfId="0" applyNumberFormat="1" applyFont="1" applyBorder="1"/>
    <xf numFmtId="0" fontId="10" fillId="0" borderId="10" xfId="0" applyFont="1" applyBorder="1"/>
    <xf numFmtId="0" fontId="10" fillId="0" borderId="13" xfId="0" applyFont="1" applyBorder="1"/>
    <xf numFmtId="0" fontId="7" fillId="0" borderId="16" xfId="0" applyFont="1" applyBorder="1"/>
    <xf numFmtId="0" fontId="5" fillId="0" borderId="0" xfId="0" applyFont="1"/>
    <xf numFmtId="0" fontId="2" fillId="0" borderId="0" xfId="3"/>
    <xf numFmtId="0" fontId="2" fillId="2" borderId="0" xfId="3" applyFill="1"/>
    <xf numFmtId="9" fontId="0" fillId="2" borderId="0" xfId="4" applyFont="1" applyFill="1"/>
    <xf numFmtId="9" fontId="0" fillId="2" borderId="0" xfId="4" applyFont="1" applyFill="1" applyAlignment="1">
      <alignment horizontal="center"/>
    </xf>
    <xf numFmtId="169" fontId="0" fillId="2" borderId="0" xfId="4" applyNumberFormat="1" applyFont="1" applyFill="1" applyAlignment="1">
      <alignment horizontal="center"/>
    </xf>
    <xf numFmtId="10" fontId="0" fillId="2" borderId="0" xfId="4" applyNumberFormat="1" applyFont="1" applyFill="1" applyAlignment="1">
      <alignment horizontal="center"/>
    </xf>
    <xf numFmtId="0" fontId="13" fillId="0" borderId="0" xfId="3" applyFont="1"/>
    <xf numFmtId="170" fontId="2" fillId="0" borderId="0" xfId="3" applyNumberFormat="1"/>
    <xf numFmtId="1" fontId="2" fillId="0" borderId="0" xfId="3" applyNumberFormat="1"/>
    <xf numFmtId="168" fontId="2" fillId="0" borderId="0" xfId="3" applyNumberFormat="1"/>
    <xf numFmtId="0" fontId="14" fillId="0" borderId="0" xfId="0" applyFont="1"/>
    <xf numFmtId="3" fontId="14" fillId="0" borderId="0" xfId="0" applyNumberFormat="1" applyFont="1"/>
    <xf numFmtId="172" fontId="2" fillId="0" borderId="0" xfId="3" applyNumberFormat="1"/>
    <xf numFmtId="9" fontId="0" fillId="0" borderId="0" xfId="4" applyFont="1" applyFill="1"/>
    <xf numFmtId="9" fontId="0" fillId="0" borderId="0" xfId="4" applyFont="1" applyFill="1" applyAlignment="1">
      <alignment horizontal="center"/>
    </xf>
    <xf numFmtId="169" fontId="0" fillId="0" borderId="0" xfId="4" applyNumberFormat="1" applyFont="1" applyFill="1" applyAlignment="1">
      <alignment horizontal="center"/>
    </xf>
    <xf numFmtId="167" fontId="2" fillId="0" borderId="0" xfId="3" applyNumberFormat="1"/>
    <xf numFmtId="173" fontId="2" fillId="0" borderId="0" xfId="3" applyNumberFormat="1"/>
    <xf numFmtId="0" fontId="16" fillId="0" borderId="0" xfId="0" applyFont="1"/>
    <xf numFmtId="0" fontId="13" fillId="0" borderId="19" xfId="3" applyFont="1" applyBorder="1"/>
    <xf numFmtId="0" fontId="15" fillId="0" borderId="19" xfId="0" applyFont="1" applyBorder="1"/>
    <xf numFmtId="3" fontId="15" fillId="0" borderId="19" xfId="0" applyNumberFormat="1" applyFont="1" applyBorder="1"/>
    <xf numFmtId="3" fontId="16" fillId="0" borderId="19" xfId="0" applyNumberFormat="1" applyFont="1" applyBorder="1"/>
    <xf numFmtId="1" fontId="16" fillId="0" borderId="19" xfId="0" applyNumberFormat="1" applyFont="1" applyBorder="1"/>
    <xf numFmtId="174" fontId="2" fillId="0" borderId="19" xfId="3" applyNumberFormat="1" applyBorder="1"/>
    <xf numFmtId="0" fontId="2" fillId="2" borderId="19" xfId="3" applyFill="1" applyBorder="1"/>
    <xf numFmtId="9" fontId="0" fillId="0" borderId="19" xfId="2" applyFont="1" applyFill="1" applyBorder="1"/>
    <xf numFmtId="0" fontId="2" fillId="0" borderId="19" xfId="3" applyBorder="1"/>
    <xf numFmtId="0" fontId="17" fillId="0" borderId="0" xfId="3" applyFont="1"/>
    <xf numFmtId="168" fontId="2" fillId="0" borderId="19" xfId="3" applyNumberFormat="1" applyBorder="1"/>
    <xf numFmtId="0" fontId="13" fillId="0" borderId="19" xfId="3" applyFont="1" applyBorder="1" applyAlignment="1">
      <alignment horizontal="center"/>
    </xf>
    <xf numFmtId="0" fontId="2" fillId="0" borderId="19" xfId="3" applyBorder="1" applyAlignment="1">
      <alignment horizontal="center"/>
    </xf>
    <xf numFmtId="2" fontId="2" fillId="0" borderId="19" xfId="3" applyNumberFormat="1" applyBorder="1" applyAlignment="1">
      <alignment horizontal="center"/>
    </xf>
    <xf numFmtId="171" fontId="2" fillId="0" borderId="19" xfId="3" applyNumberFormat="1" applyBorder="1" applyAlignment="1">
      <alignment horizontal="center"/>
    </xf>
    <xf numFmtId="171" fontId="2" fillId="0" borderId="19" xfId="3" applyNumberFormat="1" applyBorder="1"/>
    <xf numFmtId="1" fontId="2" fillId="0" borderId="19" xfId="3" applyNumberFormat="1" applyBorder="1"/>
    <xf numFmtId="9" fontId="0" fillId="0" borderId="19" xfId="4" applyFont="1" applyFill="1" applyBorder="1" applyAlignment="1">
      <alignment horizontal="center"/>
    </xf>
    <xf numFmtId="0" fontId="13" fillId="0" borderId="22" xfId="3" applyFont="1" applyBorder="1"/>
    <xf numFmtId="9" fontId="0" fillId="0" borderId="22" xfId="4" applyFont="1" applyFill="1" applyBorder="1" applyAlignment="1">
      <alignment horizontal="center"/>
    </xf>
    <xf numFmtId="169" fontId="0" fillId="0" borderId="19" xfId="4" applyNumberFormat="1" applyFont="1" applyFill="1" applyBorder="1" applyAlignment="1">
      <alignment horizontal="center"/>
    </xf>
    <xf numFmtId="10" fontId="0" fillId="0" borderId="19" xfId="4" applyNumberFormat="1" applyFont="1" applyFill="1" applyBorder="1" applyAlignment="1">
      <alignment horizontal="center"/>
    </xf>
    <xf numFmtId="0" fontId="18" fillId="0" borderId="0" xfId="3" applyFont="1"/>
    <xf numFmtId="166" fontId="2" fillId="0" borderId="0" xfId="3" applyNumberFormat="1"/>
    <xf numFmtId="167" fontId="2" fillId="0" borderId="20" xfId="3" applyNumberFormat="1" applyBorder="1"/>
    <xf numFmtId="176" fontId="0" fillId="0" borderId="0" xfId="5" applyNumberFormat="1" applyFont="1" applyFill="1"/>
    <xf numFmtId="173" fontId="2" fillId="0" borderId="20" xfId="3" applyNumberFormat="1" applyBorder="1"/>
    <xf numFmtId="9" fontId="2" fillId="0" borderId="0" xfId="3" applyNumberFormat="1"/>
    <xf numFmtId="177" fontId="2" fillId="0" borderId="0" xfId="3" applyNumberFormat="1"/>
    <xf numFmtId="172" fontId="2" fillId="0" borderId="19" xfId="3" applyNumberFormat="1" applyBorder="1"/>
    <xf numFmtId="172" fontId="0" fillId="0" borderId="19" xfId="5" applyNumberFormat="1" applyFont="1" applyFill="1" applyBorder="1"/>
    <xf numFmtId="178" fontId="2" fillId="0" borderId="19" xfId="3" applyNumberFormat="1" applyBorder="1"/>
    <xf numFmtId="178" fontId="2" fillId="0" borderId="0" xfId="3" applyNumberFormat="1"/>
    <xf numFmtId="9" fontId="0" fillId="0" borderId="19" xfId="2" applyFont="1" applyFill="1" applyBorder="1" applyAlignment="1">
      <alignment horizontal="center"/>
    </xf>
    <xf numFmtId="2" fontId="2" fillId="0" borderId="19" xfId="3" applyNumberFormat="1" applyBorder="1"/>
    <xf numFmtId="0" fontId="2" fillId="2" borderId="19" xfId="3" applyFill="1" applyBorder="1" applyAlignment="1">
      <alignment horizontal="center"/>
    </xf>
    <xf numFmtId="179" fontId="2" fillId="0" borderId="19" xfId="3" applyNumberFormat="1" applyBorder="1"/>
    <xf numFmtId="3" fontId="16" fillId="0" borderId="0" xfId="0" applyNumberFormat="1" applyFont="1"/>
    <xf numFmtId="179" fontId="16" fillId="0" borderId="19" xfId="0" applyNumberFormat="1" applyFont="1" applyBorder="1"/>
    <xf numFmtId="0" fontId="20" fillId="0" borderId="0" xfId="3" applyFont="1"/>
    <xf numFmtId="0" fontId="5" fillId="0" borderId="2" xfId="0" applyFont="1" applyBorder="1"/>
    <xf numFmtId="0" fontId="5" fillId="0" borderId="3" xfId="0" applyFont="1" applyBorder="1"/>
    <xf numFmtId="0" fontId="5" fillId="0" borderId="7" xfId="0" applyFont="1" applyBorder="1"/>
    <xf numFmtId="0" fontId="5" fillId="0" borderId="18" xfId="0" applyFont="1" applyBorder="1"/>
    <xf numFmtId="0" fontId="5" fillId="0" borderId="11" xfId="0" applyFont="1" applyBorder="1"/>
    <xf numFmtId="0" fontId="5" fillId="0" borderId="12" xfId="0" applyFont="1" applyBorder="1"/>
    <xf numFmtId="164" fontId="8" fillId="3" borderId="21" xfId="0" applyNumberFormat="1" applyFont="1" applyFill="1" applyBorder="1" applyAlignment="1">
      <alignment horizontal="center"/>
    </xf>
    <xf numFmtId="167" fontId="8" fillId="3" borderId="21" xfId="0" applyNumberFormat="1" applyFont="1" applyFill="1" applyBorder="1" applyAlignment="1">
      <alignment horizontal="center"/>
    </xf>
    <xf numFmtId="9" fontId="8" fillId="3" borderId="21" xfId="0" applyNumberFormat="1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9" fontId="8" fillId="2" borderId="14" xfId="0" applyNumberFormat="1" applyFont="1" applyFill="1" applyBorder="1" applyAlignment="1">
      <alignment horizontal="center"/>
    </xf>
    <xf numFmtId="10" fontId="8" fillId="2" borderId="14" xfId="0" applyNumberFormat="1" applyFont="1" applyFill="1" applyBorder="1" applyAlignment="1">
      <alignment horizontal="center"/>
    </xf>
    <xf numFmtId="10" fontId="7" fillId="0" borderId="26" xfId="0" applyNumberFormat="1" applyFont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164" fontId="8" fillId="2" borderId="21" xfId="0" applyNumberFormat="1" applyFont="1" applyFill="1" applyBorder="1" applyAlignment="1">
      <alignment horizontal="center"/>
    </xf>
    <xf numFmtId="9" fontId="8" fillId="2" borderId="21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/>
    </xf>
    <xf numFmtId="9" fontId="8" fillId="2" borderId="5" xfId="0" applyNumberFormat="1" applyFont="1" applyFill="1" applyBorder="1" applyAlignment="1">
      <alignment horizontal="center"/>
    </xf>
    <xf numFmtId="9" fontId="8" fillId="2" borderId="8" xfId="0" applyNumberFormat="1" applyFont="1" applyFill="1" applyBorder="1" applyAlignment="1">
      <alignment horizontal="center"/>
    </xf>
    <xf numFmtId="0" fontId="16" fillId="2" borderId="19" xfId="0" applyFont="1" applyFill="1" applyBorder="1"/>
    <xf numFmtId="167" fontId="2" fillId="2" borderId="19" xfId="3" applyNumberFormat="1" applyFill="1" applyBorder="1"/>
    <xf numFmtId="175" fontId="2" fillId="2" borderId="19" xfId="3" applyNumberFormat="1" applyFill="1" applyBorder="1"/>
    <xf numFmtId="1" fontId="2" fillId="2" borderId="19" xfId="3" applyNumberFormat="1" applyFill="1" applyBorder="1"/>
    <xf numFmtId="10" fontId="2" fillId="2" borderId="19" xfId="3" applyNumberFormat="1" applyFill="1" applyBorder="1"/>
    <xf numFmtId="10" fontId="8" fillId="3" borderId="14" xfId="0" applyNumberFormat="1" applyFont="1" applyFill="1" applyBorder="1" applyAlignment="1">
      <alignment horizontal="center"/>
    </xf>
    <xf numFmtId="167" fontId="2" fillId="0" borderId="19" xfId="3" applyNumberFormat="1" applyBorder="1"/>
    <xf numFmtId="167" fontId="2" fillId="2" borderId="0" xfId="3" applyNumberFormat="1" applyFill="1"/>
    <xf numFmtId="173" fontId="2" fillId="0" borderId="19" xfId="3" applyNumberFormat="1" applyBorder="1"/>
    <xf numFmtId="166" fontId="13" fillId="0" borderId="19" xfId="3" applyNumberFormat="1" applyFont="1" applyBorder="1"/>
    <xf numFmtId="0" fontId="13" fillId="2" borderId="19" xfId="3" applyFont="1" applyFill="1" applyBorder="1"/>
    <xf numFmtId="1" fontId="2" fillId="2" borderId="0" xfId="3" applyNumberFormat="1" applyFill="1"/>
    <xf numFmtId="10" fontId="8" fillId="2" borderId="0" xfId="0" applyNumberFormat="1" applyFont="1" applyFill="1"/>
    <xf numFmtId="10" fontId="8" fillId="2" borderId="9" xfId="0" applyNumberFormat="1" applyFont="1" applyFill="1" applyBorder="1"/>
    <xf numFmtId="0" fontId="1" fillId="0" borderId="19" xfId="3" applyFont="1" applyBorder="1"/>
    <xf numFmtId="0" fontId="1" fillId="0" borderId="0" xfId="3" applyFont="1"/>
    <xf numFmtId="9" fontId="1" fillId="0" borderId="19" xfId="2" applyFont="1" applyBorder="1"/>
    <xf numFmtId="16" fontId="1" fillId="0" borderId="19" xfId="3" applyNumberFormat="1" applyFont="1" applyBorder="1"/>
    <xf numFmtId="9" fontId="1" fillId="2" borderId="19" xfId="2" applyFont="1" applyFill="1" applyBorder="1"/>
    <xf numFmtId="9" fontId="1" fillId="2" borderId="0" xfId="2" applyFont="1" applyFill="1"/>
    <xf numFmtId="173" fontId="1" fillId="2" borderId="19" xfId="1" applyNumberFormat="1" applyFont="1" applyFill="1" applyBorder="1"/>
    <xf numFmtId="1" fontId="1" fillId="0" borderId="19" xfId="3" applyNumberFormat="1" applyFont="1" applyBorder="1"/>
    <xf numFmtId="0" fontId="1" fillId="2" borderId="19" xfId="3" applyFont="1" applyFill="1" applyBorder="1"/>
    <xf numFmtId="172" fontId="1" fillId="2" borderId="19" xfId="3" applyNumberFormat="1" applyFont="1" applyFill="1" applyBorder="1"/>
    <xf numFmtId="172" fontId="1" fillId="0" borderId="0" xfId="6" applyNumberFormat="1" applyFont="1"/>
    <xf numFmtId="172" fontId="1" fillId="0" borderId="19" xfId="6" applyNumberFormat="1" applyFont="1" applyBorder="1"/>
    <xf numFmtId="167" fontId="1" fillId="2" borderId="19" xfId="1" applyNumberFormat="1" applyFont="1" applyFill="1" applyBorder="1"/>
    <xf numFmtId="1" fontId="1" fillId="2" borderId="19" xfId="2" applyNumberFormat="1" applyFont="1" applyFill="1" applyBorder="1" applyAlignment="1">
      <alignment horizontal="center"/>
    </xf>
    <xf numFmtId="9" fontId="1" fillId="2" borderId="19" xfId="2" applyFont="1" applyFill="1" applyBorder="1" applyAlignment="1">
      <alignment horizontal="center"/>
    </xf>
    <xf numFmtId="9" fontId="1" fillId="0" borderId="0" xfId="2" applyFont="1" applyAlignment="1">
      <alignment horizontal="center"/>
    </xf>
    <xf numFmtId="171" fontId="1" fillId="0" borderId="0" xfId="3" applyNumberFormat="1" applyFont="1"/>
    <xf numFmtId="167" fontId="1" fillId="0" borderId="0" xfId="1" applyNumberFormat="1" applyFont="1"/>
    <xf numFmtId="9" fontId="1" fillId="0" borderId="0" xfId="2" applyFont="1"/>
    <xf numFmtId="0" fontId="1" fillId="0" borderId="20" xfId="3" applyFont="1" applyBorder="1"/>
    <xf numFmtId="172" fontId="1" fillId="0" borderId="19" xfId="3" applyNumberFormat="1" applyFont="1" applyBorder="1"/>
    <xf numFmtId="166" fontId="1" fillId="0" borderId="19" xfId="1" applyFont="1" applyBorder="1"/>
    <xf numFmtId="49" fontId="7" fillId="0" borderId="13" xfId="0" applyNumberFormat="1" applyFont="1" applyBorder="1"/>
    <xf numFmtId="0" fontId="7" fillId="0" borderId="28" xfId="0" applyFont="1" applyBorder="1"/>
    <xf numFmtId="164" fontId="7" fillId="0" borderId="29" xfId="0" applyNumberFormat="1" applyFont="1" applyBorder="1"/>
    <xf numFmtId="173" fontId="7" fillId="0" borderId="29" xfId="0" applyNumberFormat="1" applyFont="1" applyBorder="1"/>
    <xf numFmtId="173" fontId="7" fillId="0" borderId="0" xfId="0" applyNumberFormat="1" applyFont="1"/>
    <xf numFmtId="49" fontId="7" fillId="0" borderId="31" xfId="0" applyNumberFormat="1" applyFont="1" applyBorder="1"/>
    <xf numFmtId="164" fontId="7" fillId="0" borderId="24" xfId="0" applyNumberFormat="1" applyFont="1" applyBorder="1"/>
    <xf numFmtId="173" fontId="7" fillId="0" borderId="24" xfId="0" applyNumberFormat="1" applyFont="1" applyBorder="1"/>
    <xf numFmtId="0" fontId="7" fillId="0" borderId="31" xfId="0" applyFont="1" applyBorder="1"/>
    <xf numFmtId="0" fontId="7" fillId="0" borderId="33" xfId="0" applyFont="1" applyBorder="1"/>
    <xf numFmtId="0" fontId="7" fillId="0" borderId="29" xfId="0" applyFont="1" applyBorder="1"/>
    <xf numFmtId="0" fontId="7" fillId="0" borderId="24" xfId="0" applyFont="1" applyBorder="1"/>
    <xf numFmtId="173" fontId="7" fillId="0" borderId="30" xfId="0" applyNumberFormat="1" applyFont="1" applyBorder="1"/>
    <xf numFmtId="173" fontId="7" fillId="0" borderId="14" xfId="0" applyNumberFormat="1" applyFont="1" applyBorder="1"/>
    <xf numFmtId="173" fontId="7" fillId="0" borderId="32" xfId="0" applyNumberFormat="1" applyFont="1" applyBorder="1"/>
    <xf numFmtId="49" fontId="7" fillId="0" borderId="4" xfId="0" applyNumberFormat="1" applyFont="1" applyBorder="1"/>
    <xf numFmtId="173" fontId="7" fillId="0" borderId="20" xfId="0" applyNumberFormat="1" applyFont="1" applyBorder="1"/>
    <xf numFmtId="173" fontId="7" fillId="0" borderId="34" xfId="0" applyNumberFormat="1" applyFont="1" applyBorder="1"/>
    <xf numFmtId="173" fontId="7" fillId="0" borderId="16" xfId="0" applyNumberFormat="1" applyFont="1" applyBorder="1"/>
    <xf numFmtId="173" fontId="7" fillId="0" borderId="17" xfId="0" applyNumberFormat="1" applyFont="1" applyBorder="1"/>
    <xf numFmtId="9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73" fontId="7" fillId="3" borderId="0" xfId="0" applyNumberFormat="1" applyFont="1" applyFill="1"/>
    <xf numFmtId="173" fontId="7" fillId="3" borderId="24" xfId="0" applyNumberFormat="1" applyFont="1" applyFill="1" applyBorder="1"/>
    <xf numFmtId="0" fontId="12" fillId="0" borderId="0" xfId="0" applyFont="1"/>
    <xf numFmtId="49" fontId="7" fillId="0" borderId="0" xfId="0" applyNumberFormat="1" applyFont="1"/>
    <xf numFmtId="9" fontId="0" fillId="0" borderId="0" xfId="2" applyFont="1"/>
    <xf numFmtId="10" fontId="0" fillId="0" borderId="0" xfId="2" applyNumberFormat="1" applyFont="1"/>
    <xf numFmtId="10" fontId="0" fillId="0" borderId="0" xfId="0" applyNumberFormat="1"/>
    <xf numFmtId="1" fontId="0" fillId="0" borderId="0" xfId="0" applyNumberFormat="1"/>
    <xf numFmtId="2" fontId="0" fillId="0" borderId="0" xfId="0" applyNumberFormat="1"/>
    <xf numFmtId="171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1" applyFont="1"/>
    <xf numFmtId="166" fontId="5" fillId="0" borderId="0" xfId="1" applyFont="1"/>
    <xf numFmtId="169" fontId="2" fillId="0" borderId="19" xfId="3" applyNumberFormat="1" applyBorder="1" applyAlignment="1">
      <alignment horizontal="center"/>
    </xf>
    <xf numFmtId="0" fontId="2" fillId="0" borderId="19" xfId="3" applyBorder="1" applyAlignment="1">
      <alignment horizontal="center"/>
    </xf>
    <xf numFmtId="0" fontId="2" fillId="0" borderId="0" xfId="3" applyAlignment="1">
      <alignment horizontal="center"/>
    </xf>
    <xf numFmtId="169" fontId="2" fillId="0" borderId="0" xfId="3" applyNumberFormat="1" applyAlignment="1">
      <alignment horizontal="center"/>
    </xf>
    <xf numFmtId="0" fontId="13" fillId="0" borderId="19" xfId="3" applyFont="1" applyBorder="1" applyAlignment="1">
      <alignment horizontal="center"/>
    </xf>
    <xf numFmtId="0" fontId="13" fillId="0" borderId="23" xfId="3" applyFont="1" applyBorder="1" applyAlignment="1">
      <alignment horizontal="center"/>
    </xf>
    <xf numFmtId="0" fontId="13" fillId="0" borderId="24" xfId="3" applyFont="1" applyBorder="1" applyAlignment="1">
      <alignment horizontal="center"/>
    </xf>
    <xf numFmtId="2" fontId="2" fillId="0" borderId="22" xfId="3" applyNumberFormat="1" applyBorder="1" applyAlignment="1">
      <alignment horizontal="center"/>
    </xf>
    <xf numFmtId="2" fontId="2" fillId="0" borderId="20" xfId="3" applyNumberFormat="1" applyBorder="1" applyAlignment="1">
      <alignment horizontal="center"/>
    </xf>
    <xf numFmtId="2" fontId="2" fillId="0" borderId="25" xfId="3" applyNumberFormat="1" applyBorder="1" applyAlignment="1">
      <alignment horizontal="center"/>
    </xf>
    <xf numFmtId="0" fontId="13" fillId="0" borderId="27" xfId="3" applyFont="1" applyBorder="1" applyAlignment="1">
      <alignment horizontal="left"/>
    </xf>
  </cellXfs>
  <cellStyles count="7">
    <cellStyle name="Comma" xfId="6" builtinId="3"/>
    <cellStyle name="Comma 2" xfId="5" xr:uid="{61FBBBB2-990B-354B-8392-5C41E11C97E4}"/>
    <cellStyle name="Currency" xfId="1" builtinId="4"/>
    <cellStyle name="Normal" xfId="0" builtinId="0"/>
    <cellStyle name="Normal 2" xfId="3" xr:uid="{78483268-FAFD-6442-B74F-99320A447428}"/>
    <cellStyle name="Per cent 2" xfId="4" xr:uid="{52DD8B09-4DC6-9B42-8925-C9CD17644FC7}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Project Profitability Drivers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Project Profitability Drivers </a:t>
          </a:r>
        </a:p>
      </cx:txPr>
    </cx:title>
    <cx:plotArea>
      <cx:plotAreaRegion>
        <cx:series layoutId="waterfall" uniqueId="{5E41AE65-8B8D-DF4A-AA83-FF2C0A8A76D4}">
          <cx:tx>
            <cx:txData>
              <cx:f>_xlchart.v1.1</cx:f>
              <cx:v>Low Case ($/T)</cx:v>
            </cx:txData>
          </cx:tx>
          <cx:dataPt idx="4"/>
          <cx:dataPt idx="5"/>
          <cx:dataPt idx="6"/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Project Profitability Drivers ($/Tonne)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Project Profitability Drivers ($/Tonne)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Low Case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Low Case</a:t>
          </a:r>
        </a:p>
      </cx:txPr>
    </cx:title>
    <cx:plotArea>
      <cx:plotAreaRegion>
        <cx:series layoutId="waterfall" uniqueId="{76898A14-BE93-234C-B13A-A99684EA8BAA}">
          <cx:tx>
            <cx:txData>
              <cx:f>_xlchart.v1.4</cx:f>
              <cx:v>Low Case ($/T)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waterfall" uniqueId="{5C6B78BB-D154-E74A-9335-421595033800}">
          <cx:tx>
            <cx:txData>
              <cx:f>_xlchart.v1.7</cx:f>
              <cx:v>High Case ($/T)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60D483-16E2-0144-BD2F-3EBE5DE3199E}">
  <sheetPr/>
  <sheetViews>
    <sheetView zoomScale="6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829495-C283-DDC8-FDF9-A127167FB5D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22D33F6-3251-DA28-78E0-0630BE964771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5192" cy="608134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AU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615950</xdr:colOff>
      <xdr:row>1</xdr:row>
      <xdr:rowOff>107950</xdr:rowOff>
    </xdr:from>
    <xdr:to>
      <xdr:col>11</xdr:col>
      <xdr:colOff>425450</xdr:colOff>
      <xdr:row>17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D360A67-FC24-E7AD-0E3C-10D9A4687F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7050" y="269875"/>
              <a:ext cx="3619500" cy="248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615950</xdr:colOff>
      <xdr:row>17</xdr:row>
      <xdr:rowOff>133350</xdr:rowOff>
    </xdr:from>
    <xdr:to>
      <xdr:col>11</xdr:col>
      <xdr:colOff>425450</xdr:colOff>
      <xdr:row>33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DDF4748-EEE0-A150-40E3-07F97BE3A6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7050" y="2886075"/>
              <a:ext cx="3619500" cy="248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4B30-33E7-2641-8146-43D7AABA351D}">
  <dimension ref="A3:V71"/>
  <sheetViews>
    <sheetView topLeftCell="F16" workbookViewId="0">
      <selection activeCell="M50" sqref="M50"/>
    </sheetView>
  </sheetViews>
  <sheetFormatPr defaultColWidth="11.42578125" defaultRowHeight="12.75"/>
  <cols>
    <col min="2" max="2" width="16.140625" bestFit="1" customWidth="1"/>
    <col min="4" max="4" width="13.140625" bestFit="1" customWidth="1"/>
    <col min="5" max="5" width="15.140625" bestFit="1" customWidth="1"/>
    <col min="6" max="6" width="12.28515625" bestFit="1" customWidth="1"/>
    <col min="9" max="9" width="22.85546875" bestFit="1" customWidth="1"/>
    <col min="10" max="10" width="14.5703125" bestFit="1" customWidth="1"/>
    <col min="11" max="11" width="18.140625" bestFit="1" customWidth="1"/>
    <col min="12" max="12" width="16.42578125" bestFit="1" customWidth="1"/>
    <col min="13" max="13" width="13.85546875" bestFit="1" customWidth="1"/>
    <col min="15" max="15" width="22.85546875" bestFit="1" customWidth="1"/>
    <col min="16" max="16" width="13.42578125" bestFit="1" customWidth="1"/>
    <col min="18" max="18" width="16.28515625" bestFit="1" customWidth="1"/>
    <col min="19" max="19" width="15.42578125" bestFit="1" customWidth="1"/>
    <col min="20" max="20" width="13.42578125" bestFit="1" customWidth="1"/>
    <col min="21" max="21" width="16.5703125" bestFit="1" customWidth="1"/>
  </cols>
  <sheetData>
    <row r="3" spans="2:6">
      <c r="B3" s="182" t="s">
        <v>0</v>
      </c>
      <c r="C3" s="42" t="s">
        <v>1</v>
      </c>
      <c r="D3" s="42" t="s">
        <v>2</v>
      </c>
      <c r="E3" s="42" t="s">
        <v>3</v>
      </c>
      <c r="F3" s="42" t="s">
        <v>4</v>
      </c>
    </row>
    <row r="4" spans="2:6">
      <c r="B4" s="42" t="s">
        <v>5</v>
      </c>
      <c r="C4" s="185">
        <v>0.27279999999999999</v>
      </c>
      <c r="D4">
        <v>25000</v>
      </c>
      <c r="E4" s="184">
        <v>0.35</v>
      </c>
      <c r="F4">
        <f>D4*(1-E4)</f>
        <v>16250</v>
      </c>
    </row>
    <row r="5" spans="2:6">
      <c r="B5" s="42" t="s">
        <v>6</v>
      </c>
      <c r="C5" s="185">
        <v>7.1999999999999998E-3</v>
      </c>
      <c r="D5">
        <v>25000</v>
      </c>
      <c r="E5" s="184">
        <v>0.35</v>
      </c>
      <c r="F5">
        <f t="shared" ref="F5:F18" si="0">D5*(1-E5)</f>
        <v>16250</v>
      </c>
    </row>
    <row r="6" spans="2:6">
      <c r="B6" s="42" t="s">
        <v>7</v>
      </c>
      <c r="C6" s="185">
        <v>7.5700000000000003E-2</v>
      </c>
      <c r="D6">
        <v>25000</v>
      </c>
      <c r="E6" s="184">
        <v>0.35</v>
      </c>
      <c r="F6">
        <f t="shared" si="0"/>
        <v>16250</v>
      </c>
    </row>
    <row r="7" spans="2:6">
      <c r="B7" s="42" t="s">
        <v>8</v>
      </c>
      <c r="C7" s="185">
        <v>2.8199999999999999E-2</v>
      </c>
      <c r="D7">
        <v>0</v>
      </c>
      <c r="E7" s="184">
        <v>0</v>
      </c>
      <c r="F7">
        <f t="shared" si="0"/>
        <v>0</v>
      </c>
    </row>
    <row r="8" spans="2:6">
      <c r="B8" s="42" t="s">
        <v>9</v>
      </c>
      <c r="C8" s="185">
        <v>4.6100000000000002E-2</v>
      </c>
      <c r="D8">
        <v>30000</v>
      </c>
      <c r="E8" s="184">
        <v>0.1</v>
      </c>
      <c r="F8">
        <f t="shared" si="0"/>
        <v>27000</v>
      </c>
    </row>
    <row r="9" spans="2:6">
      <c r="B9" s="42" t="s">
        <v>10</v>
      </c>
      <c r="C9" s="185">
        <v>2.4400000000000002E-2</v>
      </c>
      <c r="D9">
        <v>0</v>
      </c>
      <c r="E9" s="184">
        <v>0</v>
      </c>
      <c r="F9">
        <f t="shared" si="0"/>
        <v>0</v>
      </c>
    </row>
    <row r="10" spans="2:6">
      <c r="B10" s="42" t="s">
        <v>11</v>
      </c>
      <c r="C10" s="185">
        <v>5.4399999999999997E-2</v>
      </c>
      <c r="D10">
        <v>0</v>
      </c>
      <c r="E10" s="184">
        <v>0.25</v>
      </c>
      <c r="F10">
        <f t="shared" si="0"/>
        <v>0</v>
      </c>
    </row>
    <row r="11" spans="2:6">
      <c r="B11" s="42" t="s">
        <v>12</v>
      </c>
      <c r="C11" s="185">
        <v>6.0100000000000001E-2</v>
      </c>
      <c r="D11">
        <v>25000</v>
      </c>
      <c r="E11" s="184">
        <v>0.35</v>
      </c>
      <c r="F11">
        <f t="shared" si="0"/>
        <v>16250</v>
      </c>
    </row>
    <row r="12" spans="2:6">
      <c r="B12" s="42" t="s">
        <v>13</v>
      </c>
      <c r="C12" s="185">
        <v>8.8300000000000003E-2</v>
      </c>
      <c r="D12">
        <v>25000</v>
      </c>
      <c r="E12" s="184">
        <v>0.35</v>
      </c>
      <c r="F12">
        <f t="shared" si="0"/>
        <v>16250</v>
      </c>
    </row>
    <row r="13" spans="2:6">
      <c r="B13" s="42" t="s">
        <v>14</v>
      </c>
      <c r="C13" s="185">
        <v>6.7999999999999996E-3</v>
      </c>
      <c r="D13">
        <v>25000</v>
      </c>
      <c r="E13" s="184">
        <v>0.35</v>
      </c>
      <c r="F13">
        <f t="shared" si="0"/>
        <v>16250</v>
      </c>
    </row>
    <row r="14" spans="2:6">
      <c r="B14" s="42" t="s">
        <v>15</v>
      </c>
      <c r="C14" s="185">
        <v>1.49E-2</v>
      </c>
      <c r="D14">
        <v>25000</v>
      </c>
      <c r="E14" s="184">
        <v>0.35</v>
      </c>
      <c r="F14">
        <f t="shared" si="0"/>
        <v>16250</v>
      </c>
    </row>
    <row r="15" spans="2:6">
      <c r="B15" s="42" t="s">
        <v>16</v>
      </c>
      <c r="C15" s="185">
        <v>0.1338</v>
      </c>
      <c r="D15">
        <v>25000</v>
      </c>
      <c r="E15" s="184">
        <v>0.35</v>
      </c>
      <c r="F15">
        <f t="shared" si="0"/>
        <v>16250</v>
      </c>
    </row>
    <row r="16" spans="2:6">
      <c r="B16" s="42" t="s">
        <v>17</v>
      </c>
      <c r="C16" s="185">
        <v>2.0500000000000001E-2</v>
      </c>
      <c r="D16">
        <v>0</v>
      </c>
      <c r="E16" s="184">
        <v>0</v>
      </c>
      <c r="F16">
        <f t="shared" si="0"/>
        <v>0</v>
      </c>
    </row>
    <row r="17" spans="2:22">
      <c r="B17" s="42" t="s">
        <v>18</v>
      </c>
      <c r="C17" s="185">
        <v>0.16370000000000001</v>
      </c>
      <c r="D17">
        <v>30000</v>
      </c>
      <c r="E17" s="184">
        <v>0.1</v>
      </c>
      <c r="F17">
        <f t="shared" si="0"/>
        <v>27000</v>
      </c>
    </row>
    <row r="18" spans="2:22">
      <c r="B18" s="42" t="s">
        <v>19</v>
      </c>
      <c r="C18" s="185">
        <v>3.0000000000000001E-3</v>
      </c>
      <c r="D18">
        <v>0</v>
      </c>
      <c r="E18" s="184">
        <v>0</v>
      </c>
      <c r="F18">
        <f t="shared" si="0"/>
        <v>0</v>
      </c>
      <c r="J18" s="42" t="s">
        <v>20</v>
      </c>
      <c r="O18" s="42" t="s">
        <v>21</v>
      </c>
      <c r="U18" s="42" t="s">
        <v>22</v>
      </c>
    </row>
    <row r="20" spans="2:22">
      <c r="C20" s="186">
        <f>SUM(C4:C18)</f>
        <v>0.99990000000000012</v>
      </c>
      <c r="D20">
        <f>SUMPRODUCT(C4:C18,D4:D18)</f>
        <v>22784</v>
      </c>
      <c r="E20">
        <f>SUMPRODUCT(C4:C18,E4:E18)</f>
        <v>0.26543999999999995</v>
      </c>
      <c r="F20">
        <f>SUMPRODUCT(C4:C18,F4:F18)</f>
        <v>16383.100000000002</v>
      </c>
      <c r="J20" s="42" t="s">
        <v>23</v>
      </c>
      <c r="K20">
        <v>30000</v>
      </c>
      <c r="O20" s="42" t="s">
        <v>23</v>
      </c>
      <c r="P20">
        <f>(J40+J41)/1000*K20</f>
        <v>26082.000000000004</v>
      </c>
      <c r="U20" s="42" t="s">
        <v>24</v>
      </c>
      <c r="V20">
        <v>1000</v>
      </c>
    </row>
    <row r="21" spans="2:22">
      <c r="J21" s="42" t="s">
        <v>25</v>
      </c>
      <c r="K21" s="190">
        <v>375</v>
      </c>
      <c r="O21" s="42" t="s">
        <v>25</v>
      </c>
      <c r="P21" s="190">
        <v>550</v>
      </c>
      <c r="U21" s="42" t="s">
        <v>26</v>
      </c>
      <c r="V21" s="190">
        <v>750</v>
      </c>
    </row>
    <row r="22" spans="2:22">
      <c r="B22" s="182" t="s">
        <v>27</v>
      </c>
      <c r="C22" s="42" t="s">
        <v>1</v>
      </c>
      <c r="D22" s="42" t="s">
        <v>2</v>
      </c>
      <c r="E22" s="42" t="s">
        <v>3</v>
      </c>
      <c r="F22" s="42" t="s">
        <v>4</v>
      </c>
      <c r="J22" s="42" t="s">
        <v>28</v>
      </c>
      <c r="K22" s="190">
        <f>K20*K21</f>
        <v>11250000</v>
      </c>
      <c r="O22" s="42" t="s">
        <v>28</v>
      </c>
      <c r="P22" s="190">
        <f>P20*P21</f>
        <v>14345100.000000002</v>
      </c>
      <c r="U22" s="42" t="s">
        <v>28</v>
      </c>
      <c r="V22" s="190">
        <f>V20*V21</f>
        <v>750000</v>
      </c>
    </row>
    <row r="23" spans="2:22">
      <c r="B23" s="42" t="s">
        <v>11</v>
      </c>
      <c r="C23" s="185">
        <f>100*C10/(100*SUM($C$10:$C$18))</f>
        <v>9.97250229147571E-2</v>
      </c>
      <c r="D23">
        <f>D10</f>
        <v>0</v>
      </c>
      <c r="E23" s="184">
        <f t="shared" ref="E23:F23" si="1">E10</f>
        <v>0.25</v>
      </c>
      <c r="F23">
        <f t="shared" si="1"/>
        <v>0</v>
      </c>
      <c r="J23" s="42" t="s">
        <v>29</v>
      </c>
      <c r="K23" s="184">
        <v>0.12</v>
      </c>
      <c r="O23" s="42" t="s">
        <v>29</v>
      </c>
      <c r="P23" s="184">
        <v>0.08</v>
      </c>
      <c r="U23" s="42" t="s">
        <v>29</v>
      </c>
      <c r="V23" s="184">
        <v>0.08</v>
      </c>
    </row>
    <row r="24" spans="2:22">
      <c r="B24" s="42" t="s">
        <v>12</v>
      </c>
      <c r="C24" s="185">
        <f t="shared" ref="C24:C31" si="2">100*C11/(100*SUM($C$10:$C$18))</f>
        <v>0.11017415215398717</v>
      </c>
      <c r="D24">
        <f t="shared" ref="D24:F24" si="3">D11</f>
        <v>25000</v>
      </c>
      <c r="E24" s="184">
        <f t="shared" si="3"/>
        <v>0.35</v>
      </c>
      <c r="F24">
        <f t="shared" si="3"/>
        <v>16250</v>
      </c>
      <c r="J24" s="42" t="s">
        <v>30</v>
      </c>
      <c r="K24">
        <v>15</v>
      </c>
      <c r="O24" s="42" t="s">
        <v>30</v>
      </c>
      <c r="P24">
        <v>15</v>
      </c>
      <c r="U24" s="42" t="s">
        <v>30</v>
      </c>
      <c r="V24">
        <v>15</v>
      </c>
    </row>
    <row r="25" spans="2:22">
      <c r="B25" s="42" t="s">
        <v>13</v>
      </c>
      <c r="C25" s="185">
        <f t="shared" si="2"/>
        <v>0.1618698441796517</v>
      </c>
      <c r="D25">
        <f t="shared" ref="D25:F25" si="4">D12</f>
        <v>25000</v>
      </c>
      <c r="E25" s="184">
        <f t="shared" si="4"/>
        <v>0.35</v>
      </c>
      <c r="F25">
        <f t="shared" si="4"/>
        <v>16250</v>
      </c>
      <c r="J25" s="42" t="s">
        <v>31</v>
      </c>
      <c r="K25" s="191">
        <f>PMT(K23,K24,K21*K20)</f>
        <v>-1651772.6960213964</v>
      </c>
      <c r="L25" s="191">
        <f>K25/K20</f>
        <v>-55.059089867379882</v>
      </c>
      <c r="O25" s="42" t="s">
        <v>31</v>
      </c>
      <c r="P25" s="191">
        <f>PMT(P23,P24,P21*P20)</f>
        <v>-1675931.5050617012</v>
      </c>
      <c r="U25" s="42" t="s">
        <v>31</v>
      </c>
      <c r="V25" s="191">
        <f>PMT(V23,V24,V21*V20)</f>
        <v>-87622.158702015047</v>
      </c>
    </row>
    <row r="26" spans="2:22">
      <c r="B26" s="42" t="s">
        <v>14</v>
      </c>
      <c r="C26" s="185">
        <f t="shared" si="2"/>
        <v>1.2465627864344637E-2</v>
      </c>
      <c r="D26">
        <f t="shared" ref="D26:F26" si="5">D13</f>
        <v>25000</v>
      </c>
      <c r="E26" s="184">
        <f t="shared" si="5"/>
        <v>0.35</v>
      </c>
      <c r="F26">
        <f t="shared" si="5"/>
        <v>16250</v>
      </c>
      <c r="J26" s="42" t="s">
        <v>32</v>
      </c>
      <c r="K26" s="191">
        <f>K25/(K20*1000)</f>
        <v>-5.5059089867379882E-2</v>
      </c>
      <c r="O26" s="42" t="s">
        <v>32</v>
      </c>
      <c r="P26" s="191">
        <f>P25/(P20*1000)</f>
        <v>-6.4256249714811017E-2</v>
      </c>
      <c r="U26" s="42" t="s">
        <v>32</v>
      </c>
      <c r="V26" s="191">
        <f>V25/(V20*1000)</f>
        <v>-8.7622158702015049E-2</v>
      </c>
    </row>
    <row r="27" spans="2:22">
      <c r="B27" s="42" t="s">
        <v>15</v>
      </c>
      <c r="C27" s="185">
        <f t="shared" si="2"/>
        <v>2.7314390467461046E-2</v>
      </c>
      <c r="D27">
        <f t="shared" ref="D27:F27" si="6">D14</f>
        <v>25000</v>
      </c>
      <c r="E27" s="184">
        <f t="shared" si="6"/>
        <v>0.35</v>
      </c>
      <c r="F27">
        <f t="shared" si="6"/>
        <v>16250</v>
      </c>
    </row>
    <row r="28" spans="2:22">
      <c r="B28" s="42" t="s">
        <v>16</v>
      </c>
      <c r="C28" s="185">
        <f t="shared" si="2"/>
        <v>0.24527956003666365</v>
      </c>
      <c r="D28">
        <f t="shared" ref="D28:F28" si="7">D15</f>
        <v>25000</v>
      </c>
      <c r="E28" s="184">
        <f t="shared" si="7"/>
        <v>0.35</v>
      </c>
      <c r="F28">
        <f t="shared" si="7"/>
        <v>16250</v>
      </c>
      <c r="I28" s="42"/>
      <c r="J28" s="42" t="s">
        <v>33</v>
      </c>
      <c r="K28" s="184">
        <v>0.2</v>
      </c>
      <c r="O28" s="42" t="s">
        <v>33</v>
      </c>
      <c r="P28" s="184">
        <v>0.1</v>
      </c>
      <c r="U28" s="42" t="s">
        <v>33</v>
      </c>
      <c r="V28" s="184">
        <v>0.2</v>
      </c>
    </row>
    <row r="29" spans="2:22">
      <c r="B29" s="42" t="s">
        <v>17</v>
      </c>
      <c r="C29" s="185">
        <f t="shared" si="2"/>
        <v>3.7580201649862519E-2</v>
      </c>
      <c r="D29">
        <f t="shared" ref="D29:F29" si="8">D16</f>
        <v>0</v>
      </c>
      <c r="E29" s="184">
        <f t="shared" si="8"/>
        <v>0</v>
      </c>
      <c r="F29">
        <f t="shared" si="8"/>
        <v>0</v>
      </c>
      <c r="J29" s="42" t="s">
        <v>34</v>
      </c>
      <c r="K29" s="190">
        <f>-K28*K22</f>
        <v>-2250000</v>
      </c>
      <c r="L29" s="190">
        <f>K29/K20</f>
        <v>-75</v>
      </c>
      <c r="O29" s="42" t="s">
        <v>34</v>
      </c>
      <c r="P29" s="190">
        <f>-P28*P22</f>
        <v>-1434510.0000000002</v>
      </c>
      <c r="U29" s="42" t="s">
        <v>34</v>
      </c>
      <c r="V29" s="190">
        <f>-V28*V22</f>
        <v>-150000</v>
      </c>
    </row>
    <row r="30" spans="2:22">
      <c r="B30" s="42" t="s">
        <v>18</v>
      </c>
      <c r="C30" s="185">
        <f t="shared" si="2"/>
        <v>0.30009165902841434</v>
      </c>
      <c r="D30">
        <f t="shared" ref="D30:F30" si="9">D17</f>
        <v>30000</v>
      </c>
      <c r="E30" s="184">
        <f t="shared" si="9"/>
        <v>0.1</v>
      </c>
      <c r="F30">
        <f t="shared" si="9"/>
        <v>27000</v>
      </c>
      <c r="J30" s="42" t="s">
        <v>35</v>
      </c>
      <c r="K30" s="191">
        <f>K29/(K20*1000)</f>
        <v>-7.4999999999999997E-2</v>
      </c>
      <c r="O30" s="42" t="s">
        <v>35</v>
      </c>
      <c r="P30" s="191">
        <f>P29/(P20*1000)</f>
        <v>-5.5E-2</v>
      </c>
      <c r="U30" s="42" t="s">
        <v>35</v>
      </c>
      <c r="V30" s="191">
        <f>V29/(V20*1000)</f>
        <v>-0.15</v>
      </c>
    </row>
    <row r="31" spans="2:22">
      <c r="B31" s="42" t="s">
        <v>19</v>
      </c>
      <c r="C31" s="185">
        <f t="shared" si="2"/>
        <v>5.4995417048579283E-3</v>
      </c>
      <c r="D31">
        <f t="shared" ref="D31:F31" si="10">D18</f>
        <v>0</v>
      </c>
      <c r="E31" s="184">
        <f t="shared" si="10"/>
        <v>0</v>
      </c>
      <c r="F31">
        <f t="shared" si="10"/>
        <v>0</v>
      </c>
    </row>
    <row r="33" spans="1:21">
      <c r="A33">
        <v>1000</v>
      </c>
      <c r="B33">
        <v>0</v>
      </c>
      <c r="C33" s="186">
        <f>SUM(C23:C31)</f>
        <v>1.0000000000000002</v>
      </c>
      <c r="D33">
        <f>SUMPRODUCT(C23:C31,D23:D31)</f>
        <v>22930.339138405136</v>
      </c>
      <c r="E33">
        <f>SUMPRODUCT(C23:C31,E23:E31)</f>
        <v>0.24992667277726857</v>
      </c>
      <c r="F33">
        <f>SUMPRODUCT(C23:C31,F23:F31)</f>
        <v>17155.407882676445</v>
      </c>
    </row>
    <row r="34" spans="1:21">
      <c r="P34" s="42" t="s">
        <v>36</v>
      </c>
      <c r="Q34" s="42" t="s">
        <v>37</v>
      </c>
      <c r="R34" s="42" t="s">
        <v>38</v>
      </c>
      <c r="S34" s="42" t="s">
        <v>39</v>
      </c>
    </row>
    <row r="35" spans="1:21">
      <c r="B35" s="182" t="s">
        <v>40</v>
      </c>
      <c r="C35" s="182" t="s">
        <v>41</v>
      </c>
      <c r="D35" s="182" t="s">
        <v>2</v>
      </c>
      <c r="E35" s="182" t="s">
        <v>3</v>
      </c>
      <c r="F35" s="182" t="s">
        <v>4</v>
      </c>
      <c r="G35" s="182"/>
      <c r="J35" s="42" t="s">
        <v>42</v>
      </c>
      <c r="K35" s="42" t="s">
        <v>37</v>
      </c>
      <c r="L35" s="42" t="s">
        <v>38</v>
      </c>
      <c r="M35" s="42" t="s">
        <v>39</v>
      </c>
      <c r="O35" s="182" t="s">
        <v>43</v>
      </c>
      <c r="P35" s="188">
        <f>J40/SUM(J40:J41)*1000</f>
        <v>482.28663446054753</v>
      </c>
      <c r="Q35" s="191">
        <f>-K40</f>
        <v>0.21316345855177862</v>
      </c>
      <c r="R35" s="191">
        <f>P35*Q35</f>
        <v>102.80588701490773</v>
      </c>
      <c r="S35" s="192">
        <f>R35*$P$20</f>
        <v>2681383.1451228238</v>
      </c>
      <c r="U35" s="182" t="s">
        <v>44</v>
      </c>
    </row>
    <row r="36" spans="1:21">
      <c r="B36" s="42" t="s">
        <v>11</v>
      </c>
      <c r="C36">
        <f>IF($B$33=0,$A$33*INDEX($C$4:$F$18,MATCH(B36,$B$4:$B$18,0),1),$A$33*IFERROR(INDEX($C$23:$F$31,MATCH(B36,$B$23:$B$31,0),1),0))</f>
        <v>54.4</v>
      </c>
      <c r="D36">
        <f>IFERROR(INDEX($D$4:$D$18,MATCH($B36,$B$4:$B$18,0)),0)</f>
        <v>0</v>
      </c>
      <c r="E36" s="184">
        <f>IFERROR(INDEX($E$4:$E$18,MATCH($B36,$B$4:$B$18,0)),0)</f>
        <v>0.25</v>
      </c>
      <c r="F36">
        <f>D36*(1-E36)</f>
        <v>0</v>
      </c>
      <c r="I36" s="182" t="s">
        <v>45</v>
      </c>
      <c r="J36" s="188">
        <f>1000</f>
        <v>1000</v>
      </c>
      <c r="K36" s="192">
        <v>0.2</v>
      </c>
      <c r="L36" s="192">
        <f>J36*K36</f>
        <v>200</v>
      </c>
      <c r="M36" s="192">
        <f>L36*$K$20</f>
        <v>6000000</v>
      </c>
      <c r="O36" s="182" t="s">
        <v>46</v>
      </c>
      <c r="P36" s="188">
        <f>J41/SUM(J40:J41)*1000</f>
        <v>517.71336553945241</v>
      </c>
      <c r="Q36" s="191">
        <f>-K41</f>
        <v>0.16250000000000001</v>
      </c>
      <c r="R36" s="191">
        <f>P36*Q36</f>
        <v>84.128421900161015</v>
      </c>
      <c r="S36" s="192">
        <f t="shared" ref="S36:S43" si="11">R36*$P$20</f>
        <v>2194237.5</v>
      </c>
    </row>
    <row r="37" spans="1:21">
      <c r="I37" s="182" t="s">
        <v>40</v>
      </c>
      <c r="J37" s="188">
        <f>C36</f>
        <v>54.4</v>
      </c>
      <c r="K37" s="192">
        <v>-0.16</v>
      </c>
      <c r="L37" s="192">
        <f t="shared" ref="L37:L41" si="12">J37*K37</f>
        <v>-8.7040000000000006</v>
      </c>
      <c r="M37" s="192">
        <f>L37*$K$20</f>
        <v>-261120.00000000003</v>
      </c>
      <c r="O37" s="182" t="s">
        <v>47</v>
      </c>
      <c r="P37">
        <f>0.3*SUM(P35:P36)</f>
        <v>300</v>
      </c>
      <c r="Q37" s="192">
        <v>-0.16</v>
      </c>
      <c r="R37" s="191">
        <f>P37*Q37</f>
        <v>-48</v>
      </c>
      <c r="S37" s="192">
        <f t="shared" si="11"/>
        <v>-1251936.0000000002</v>
      </c>
    </row>
    <row r="38" spans="1:21">
      <c r="B38" s="182" t="s">
        <v>48</v>
      </c>
      <c r="C38" s="182" t="s">
        <v>41</v>
      </c>
      <c r="D38" s="182" t="s">
        <v>2</v>
      </c>
      <c r="E38" s="182" t="s">
        <v>3</v>
      </c>
      <c r="F38" s="182" t="s">
        <v>4</v>
      </c>
      <c r="G38" s="182"/>
      <c r="I38" s="182" t="s">
        <v>48</v>
      </c>
      <c r="J38" s="188">
        <f>SUM(C39:C40)</f>
        <v>48.7</v>
      </c>
      <c r="K38" s="192">
        <v>0.2</v>
      </c>
      <c r="L38" s="192">
        <f t="shared" si="12"/>
        <v>9.740000000000002</v>
      </c>
      <c r="M38" s="192">
        <f t="shared" ref="M38:M45" si="13">L38*$K$20</f>
        <v>292200.00000000006</v>
      </c>
      <c r="O38" s="182" t="s">
        <v>44</v>
      </c>
      <c r="P38">
        <f>(P35*F52/1000/1000+P36*F61/1000/1000)*0.7</f>
        <v>13.085401624054814</v>
      </c>
      <c r="Q38">
        <v>10</v>
      </c>
      <c r="R38">
        <f>P38*Q38</f>
        <v>130.85401624054813</v>
      </c>
      <c r="S38" s="192">
        <f t="shared" si="11"/>
        <v>3412934.4515859769</v>
      </c>
    </row>
    <row r="39" spans="1:21">
      <c r="B39" s="42" t="s">
        <v>8</v>
      </c>
      <c r="C39">
        <f>IF($B$33=0,$A$33*INDEX($C$4:$F$18,MATCH(B39,$B$4:$B$18,0),1),$A$33*IFERROR(INDEX($C$23:$F$31,MATCH(B39,$B$23:$B$31,0),1),0))</f>
        <v>28.2</v>
      </c>
      <c r="D39">
        <f>IFERROR(INDEX($D$4:$D$18,MATCH($B39,$B$4:$B$18,0)),0)</f>
        <v>0</v>
      </c>
      <c r="E39" s="184">
        <f>IFERROR(INDEX($E$4:$E$18,MATCH($B39,$B$4:$B$18,0)),0)</f>
        <v>0</v>
      </c>
      <c r="F39">
        <f>D39*(1-E39)</f>
        <v>0</v>
      </c>
      <c r="I39" s="182" t="s">
        <v>49</v>
      </c>
      <c r="J39" s="188">
        <f>SUM(C43:C44)</f>
        <v>27.400000000000002</v>
      </c>
      <c r="K39" s="192">
        <v>0.03</v>
      </c>
      <c r="L39" s="192">
        <f t="shared" si="12"/>
        <v>0.82200000000000006</v>
      </c>
      <c r="M39" s="192">
        <f t="shared" si="13"/>
        <v>24660.000000000004</v>
      </c>
      <c r="O39" s="182" t="s">
        <v>50</v>
      </c>
      <c r="P39">
        <v>1000</v>
      </c>
      <c r="Q39">
        <v>1.4999999999999999E-2</v>
      </c>
      <c r="R39" s="191">
        <f>P39*Q39</f>
        <v>15</v>
      </c>
      <c r="S39" s="192">
        <f t="shared" si="11"/>
        <v>391230.00000000006</v>
      </c>
    </row>
    <row r="40" spans="1:21">
      <c r="B40" s="42" t="s">
        <v>17</v>
      </c>
      <c r="C40">
        <f>IF($B$33=0,$A$33*INDEX($C$4:$F$18,MATCH(B40,$B$4:$B$18,0),1),$A$33*IFERROR(INDEX($C$23:$F$31,MATCH(B40,$B$23:$B$31,0),1),0))</f>
        <v>20.5</v>
      </c>
      <c r="D40">
        <f>IFERROR(INDEX($D$4:$D$18,MATCH($B40,$B$4:$B$18,0)),0)</f>
        <v>0</v>
      </c>
      <c r="E40" s="184">
        <f>IFERROR(INDEX($E$4:$E$18,MATCH($B40,$B$4:$B$18,0)),0)</f>
        <v>0</v>
      </c>
      <c r="F40">
        <f>D40*(1-E40)</f>
        <v>0</v>
      </c>
      <c r="I40" s="182" t="s">
        <v>43</v>
      </c>
      <c r="J40" s="188">
        <f>SUM(C48:C51)</f>
        <v>419.30000000000007</v>
      </c>
      <c r="K40" s="192">
        <f>G52</f>
        <v>-0.21316345855177862</v>
      </c>
      <c r="L40" s="192">
        <f t="shared" si="12"/>
        <v>-89.379438170760793</v>
      </c>
      <c r="M40" s="192">
        <f t="shared" si="13"/>
        <v>-2681383.1451228238</v>
      </c>
      <c r="O40" s="182" t="s">
        <v>51</v>
      </c>
      <c r="P40">
        <v>1000</v>
      </c>
      <c r="Q40" s="191">
        <f>R40/P40</f>
        <v>0.28478832515561692</v>
      </c>
      <c r="R40" s="191">
        <f>SUM(R35:R39)</f>
        <v>284.78832515561692</v>
      </c>
      <c r="S40" s="192">
        <f t="shared" si="11"/>
        <v>7427849.0967088016</v>
      </c>
    </row>
    <row r="41" spans="1:21">
      <c r="E41" s="184"/>
      <c r="I41" s="182" t="s">
        <v>52</v>
      </c>
      <c r="J41" s="188">
        <f>SUM(C55:C60)</f>
        <v>450.1</v>
      </c>
      <c r="K41" s="193">
        <f>G61</f>
        <v>-0.16250000000000001</v>
      </c>
      <c r="L41" s="192">
        <f t="shared" si="12"/>
        <v>-73.141249999999999</v>
      </c>
      <c r="M41" s="192">
        <f t="shared" si="13"/>
        <v>-2194237.5</v>
      </c>
      <c r="O41" s="182" t="s">
        <v>28</v>
      </c>
      <c r="P41">
        <v>1000</v>
      </c>
      <c r="Q41" s="191">
        <f>P26</f>
        <v>-6.4256249714811017E-2</v>
      </c>
      <c r="R41" s="191">
        <f>P41*Q41</f>
        <v>-64.25624971481102</v>
      </c>
      <c r="S41" s="192">
        <f t="shared" si="11"/>
        <v>-1675931.5050617012</v>
      </c>
    </row>
    <row r="42" spans="1:21">
      <c r="B42" s="182" t="s">
        <v>49</v>
      </c>
      <c r="E42" s="184"/>
      <c r="G42" s="182"/>
      <c r="I42" s="182" t="s">
        <v>53</v>
      </c>
      <c r="J42">
        <v>1000</v>
      </c>
      <c r="K42" s="192">
        <f>SUMPRODUCT(J37:J41,K37:K41)/J42</f>
        <v>-0.16066268817076079</v>
      </c>
      <c r="L42" s="192">
        <f>J42*K42</f>
        <v>-160.66268817076079</v>
      </c>
      <c r="M42" s="192">
        <f t="shared" si="13"/>
        <v>-4819880.6451228233</v>
      </c>
      <c r="O42" s="182" t="s">
        <v>34</v>
      </c>
      <c r="P42">
        <v>1000</v>
      </c>
      <c r="Q42" s="191">
        <f>P30</f>
        <v>-5.5E-2</v>
      </c>
      <c r="R42" s="191">
        <f>P42*Q42</f>
        <v>-55</v>
      </c>
      <c r="S42" s="192">
        <f t="shared" si="11"/>
        <v>-1434510.0000000002</v>
      </c>
    </row>
    <row r="43" spans="1:21">
      <c r="B43" s="42" t="s">
        <v>10</v>
      </c>
      <c r="C43">
        <f>IF($B$33=0,$A$33*INDEX($C$4:$F$18,MATCH(B43,$B$4:$B$18,0),1),$A$33*IFERROR(INDEX($C$23:$F$31,MATCH(B43,$B$23:$B$31,0),1),0))</f>
        <v>24.400000000000002</v>
      </c>
      <c r="D43">
        <f>IFERROR(INDEX($D$4:$D$18,MATCH($B43,$B$4:$B$18,0)),0)</f>
        <v>0</v>
      </c>
      <c r="E43" s="184">
        <f>IFERROR(INDEX($E$4:$E$18,MATCH($B43,$B$4:$B$18,0)),0)</f>
        <v>0</v>
      </c>
      <c r="F43">
        <f>D43*(1-E43)</f>
        <v>0</v>
      </c>
      <c r="I43" s="182" t="s">
        <v>51</v>
      </c>
      <c r="J43">
        <v>1000</v>
      </c>
      <c r="K43" s="192">
        <f>K36+K42</f>
        <v>3.9337311829239219E-2</v>
      </c>
      <c r="L43" s="192">
        <f>J43*K43</f>
        <v>39.337311829239219</v>
      </c>
      <c r="M43" s="192">
        <f t="shared" si="13"/>
        <v>1180119.3548771765</v>
      </c>
      <c r="O43" s="182" t="s">
        <v>54</v>
      </c>
      <c r="P43">
        <v>1000</v>
      </c>
      <c r="Q43" s="191">
        <f>Q40+Q41+Q42</f>
        <v>0.16553207544080589</v>
      </c>
      <c r="R43" s="191">
        <f>P43*Q43</f>
        <v>165.5320754408059</v>
      </c>
      <c r="S43" s="192">
        <f t="shared" si="11"/>
        <v>4317407.5916470997</v>
      </c>
    </row>
    <row r="44" spans="1:21">
      <c r="B44" s="42" t="s">
        <v>19</v>
      </c>
      <c r="C44">
        <f>IF($B$33=0,$A$33*INDEX($C$4:$F$18,MATCH(B44,$B$4:$B$18,0),1),$A$33*IFERROR(INDEX($C$23:$F$31,MATCH(B44,$B$23:$B$31,0),1),0))</f>
        <v>3</v>
      </c>
      <c r="D44">
        <f>IFERROR(INDEX($D$4:$D$18,MATCH($B44,$B$4:$B$18,0)),0)</f>
        <v>0</v>
      </c>
      <c r="E44" s="184">
        <f>IFERROR(INDEX($E$4:$E$18,MATCH($B44,$B$4:$B$18,0)),0)</f>
        <v>0</v>
      </c>
      <c r="F44">
        <f>D44*(1-E44)</f>
        <v>0</v>
      </c>
      <c r="I44" s="182" t="s">
        <v>28</v>
      </c>
      <c r="J44">
        <v>1000</v>
      </c>
      <c r="K44" s="192">
        <f>K26</f>
        <v>-5.5059089867379882E-2</v>
      </c>
      <c r="L44" s="192">
        <f>J44*K44</f>
        <v>-55.059089867379882</v>
      </c>
      <c r="M44" s="192">
        <f t="shared" si="13"/>
        <v>-1651772.6960213964</v>
      </c>
    </row>
    <row r="45" spans="1:21">
      <c r="E45" s="184"/>
      <c r="I45" s="182" t="s">
        <v>34</v>
      </c>
      <c r="J45">
        <v>1000</v>
      </c>
      <c r="K45" s="192">
        <f>K30</f>
        <v>-7.4999999999999997E-2</v>
      </c>
      <c r="L45" s="192">
        <f>J45*K45</f>
        <v>-75</v>
      </c>
      <c r="M45" s="192">
        <f t="shared" si="13"/>
        <v>-2250000</v>
      </c>
    </row>
    <row r="46" spans="1:21">
      <c r="A46" s="42"/>
      <c r="E46" s="184"/>
      <c r="I46" s="182" t="s">
        <v>54</v>
      </c>
      <c r="J46">
        <v>1000</v>
      </c>
      <c r="K46" s="192">
        <f>K43+K44+K45</f>
        <v>-9.072177803814066E-2</v>
      </c>
      <c r="L46" s="192">
        <f>J46*K46</f>
        <v>-90.721778038140656</v>
      </c>
      <c r="M46" s="192">
        <f>M43+M44+M45</f>
        <v>-2721653.34114422</v>
      </c>
    </row>
    <row r="47" spans="1:21">
      <c r="B47" s="182" t="s">
        <v>43</v>
      </c>
      <c r="C47" s="182" t="s">
        <v>41</v>
      </c>
      <c r="D47" s="182" t="s">
        <v>2</v>
      </c>
      <c r="E47" s="182" t="s">
        <v>3</v>
      </c>
      <c r="F47" s="182" t="s">
        <v>4</v>
      </c>
      <c r="G47" s="182" t="s">
        <v>55</v>
      </c>
      <c r="S47" s="42"/>
    </row>
    <row r="48" spans="1:21">
      <c r="B48" s="42" t="s">
        <v>7</v>
      </c>
      <c r="C48">
        <f>IF($B$33=0,$A$33*INDEX($C$4:$F$18,MATCH(B48,$B$4:$B$18,0),1),$A$33*IFERROR(INDEX($C$23:$F$31,MATCH(B48,$B$23:$B$31,0),1),0))</f>
        <v>75.7</v>
      </c>
      <c r="D48">
        <f>IFERROR(INDEX($D$4:$D$18,MATCH($B48,$B$4:$B$18,0)),0)</f>
        <v>25000</v>
      </c>
      <c r="E48" s="184">
        <f>IFERROR(INDEX($E$4:$E$18,MATCH($B48,$B$4:$B$18,0)),0)</f>
        <v>0.35</v>
      </c>
      <c r="F48">
        <f>D48*(1-E48)</f>
        <v>16250</v>
      </c>
      <c r="I48" s="182" t="s">
        <v>56</v>
      </c>
    </row>
    <row r="49" spans="2:17">
      <c r="B49" s="42" t="s">
        <v>9</v>
      </c>
      <c r="C49">
        <f>IF($B$33=0,$A$33*INDEX($C$4:$F$18,MATCH(B49,$B$4:$B$18,0),1),$A$33*IFERROR(INDEX($C$23:$F$31,MATCH(B49,$B$23:$B$31,0),1),0))</f>
        <v>46.1</v>
      </c>
      <c r="D49">
        <f>IFERROR(INDEX($D$4:$D$18,MATCH($B49,$B$4:$B$18,0)),0)</f>
        <v>30000</v>
      </c>
      <c r="E49" s="184">
        <f>IFERROR(INDEX($E$4:$E$18,MATCH($B49,$B$4:$B$18,0)),0)</f>
        <v>0.1</v>
      </c>
      <c r="F49">
        <f>D49*(1-E49)</f>
        <v>27000</v>
      </c>
      <c r="I49">
        <v>10</v>
      </c>
    </row>
    <row r="50" spans="2:17">
      <c r="B50" s="42" t="s">
        <v>16</v>
      </c>
      <c r="C50">
        <f>IF($B$33=0,$A$33*INDEX($C$4:$F$18,MATCH(B50,$B$4:$B$18,0),1),$A$33*IFERROR(INDEX($C$23:$F$31,MATCH(B50,$B$23:$B$31,0),1),0))</f>
        <v>133.80000000000001</v>
      </c>
      <c r="D50">
        <f>IFERROR(INDEX($D$4:$D$18,MATCH($B50,$B$4:$B$18,0)),0)</f>
        <v>25000</v>
      </c>
      <c r="E50" s="184">
        <f>IFERROR(INDEX($E$4:$E$18,MATCH($B50,$B$4:$B$18,0)),0)</f>
        <v>0.35</v>
      </c>
      <c r="F50">
        <f>D50*(1-E50)</f>
        <v>16250</v>
      </c>
      <c r="I50" s="182" t="s">
        <v>57</v>
      </c>
      <c r="J50" s="182" t="s">
        <v>58</v>
      </c>
    </row>
    <row r="51" spans="2:17">
      <c r="B51" s="42" t="s">
        <v>18</v>
      </c>
      <c r="C51">
        <f>IF($B$33=0,$A$33*INDEX($C$4:$F$18,MATCH(B51,$B$4:$B$18,0),1),$A$33*IFERROR(INDEX($C$23:$F$31,MATCH(B51,$B$23:$B$31,0),1),0))</f>
        <v>163.70000000000002</v>
      </c>
      <c r="D51">
        <f>IFERROR(INDEX($D$4:$D$18,MATCH($B51,$B$4:$B$18,0)),0)</f>
        <v>30000</v>
      </c>
      <c r="E51" s="184">
        <f>IFERROR(INDEX($E$4:$E$18,MATCH($B51,$B$4:$B$18,0)),0)</f>
        <v>0.1</v>
      </c>
      <c r="F51">
        <f>D51*(1-E51)</f>
        <v>27000</v>
      </c>
      <c r="I51" s="184">
        <v>2</v>
      </c>
      <c r="J51">
        <f>I49*(1-I51)</f>
        <v>-10</v>
      </c>
    </row>
    <row r="52" spans="2:17">
      <c r="C52" s="187">
        <f>SUM(C48:C51)</f>
        <v>419.30000000000007</v>
      </c>
      <c r="D52" s="187">
        <f>SUMPRODUCT(C48:C51,D48:D51)/C52</f>
        <v>27501.788695444786</v>
      </c>
      <c r="E52" s="184">
        <f>SUMPRODUCT(C48:C51,E48:E51)/C52</f>
        <v>0.22491056522776054</v>
      </c>
      <c r="F52" s="187">
        <f>D52*(1-E52)</f>
        <v>21316.345855177864</v>
      </c>
      <c r="G52" s="189">
        <f>F52/1000/1000*J51</f>
        <v>-0.21316345855177862</v>
      </c>
      <c r="I52" s="182" t="s">
        <v>59</v>
      </c>
      <c r="J52" s="182" t="s">
        <v>60</v>
      </c>
      <c r="P52">
        <v>100</v>
      </c>
      <c r="Q52">
        <v>150</v>
      </c>
    </row>
    <row r="53" spans="2:17">
      <c r="I53" s="184">
        <v>2</v>
      </c>
      <c r="J53">
        <f>I49*(1-I53)</f>
        <v>-10</v>
      </c>
    </row>
    <row r="54" spans="2:17">
      <c r="B54" s="182" t="s">
        <v>52</v>
      </c>
      <c r="C54" s="182" t="s">
        <v>41</v>
      </c>
      <c r="D54" s="182" t="s">
        <v>2</v>
      </c>
      <c r="E54" s="182" t="s">
        <v>3</v>
      </c>
      <c r="F54" s="182" t="s">
        <v>4</v>
      </c>
      <c r="G54" s="182" t="s">
        <v>55</v>
      </c>
    </row>
    <row r="55" spans="2:17">
      <c r="B55" s="42" t="s">
        <v>5</v>
      </c>
      <c r="C55">
        <f t="shared" ref="C55:C60" si="14">IF($B$33=0,$A$33*INDEX($C$4:$F$18,MATCH(B55,$B$4:$B$18,0),1),$A$33*IFERROR(INDEX($C$23:$F$31,MATCH(B55,$B$23:$B$31,0),1),0))</f>
        <v>272.8</v>
      </c>
      <c r="D55">
        <f t="shared" ref="D55:D60" si="15">IFERROR(INDEX($D$4:$D$18,MATCH($B55,$B$4:$B$18,0)),0)</f>
        <v>25000</v>
      </c>
      <c r="E55" s="184">
        <f t="shared" ref="E55:E60" si="16">IFERROR(INDEX($E$4:$E$18,MATCH($B55,$B$4:$B$18,0)),0)</f>
        <v>0.35</v>
      </c>
      <c r="F55">
        <f t="shared" ref="F55:F61" si="17">D55*(1-E55)</f>
        <v>16250</v>
      </c>
    </row>
    <row r="56" spans="2:17">
      <c r="B56" s="42" t="s">
        <v>6</v>
      </c>
      <c r="C56">
        <f t="shared" si="14"/>
        <v>7.2</v>
      </c>
      <c r="D56">
        <f t="shared" si="15"/>
        <v>25000</v>
      </c>
      <c r="E56" s="184">
        <f t="shared" si="16"/>
        <v>0.35</v>
      </c>
      <c r="F56">
        <f t="shared" si="17"/>
        <v>16250</v>
      </c>
    </row>
    <row r="57" spans="2:17">
      <c r="B57" s="42" t="s">
        <v>12</v>
      </c>
      <c r="C57">
        <f t="shared" si="14"/>
        <v>60.1</v>
      </c>
      <c r="D57">
        <f t="shared" si="15"/>
        <v>25000</v>
      </c>
      <c r="E57" s="184">
        <f t="shared" si="16"/>
        <v>0.35</v>
      </c>
      <c r="F57">
        <f t="shared" si="17"/>
        <v>16250</v>
      </c>
    </row>
    <row r="58" spans="2:17">
      <c r="B58" s="42" t="s">
        <v>13</v>
      </c>
      <c r="C58">
        <f t="shared" si="14"/>
        <v>88.3</v>
      </c>
      <c r="D58">
        <f t="shared" si="15"/>
        <v>25000</v>
      </c>
      <c r="E58" s="184">
        <f t="shared" si="16"/>
        <v>0.35</v>
      </c>
      <c r="F58">
        <f t="shared" si="17"/>
        <v>16250</v>
      </c>
    </row>
    <row r="59" spans="2:17">
      <c r="B59" s="42" t="s">
        <v>14</v>
      </c>
      <c r="C59">
        <f t="shared" si="14"/>
        <v>6.8</v>
      </c>
      <c r="D59">
        <f t="shared" si="15"/>
        <v>25000</v>
      </c>
      <c r="E59" s="184">
        <f t="shared" si="16"/>
        <v>0.35</v>
      </c>
      <c r="F59">
        <f t="shared" si="17"/>
        <v>16250</v>
      </c>
    </row>
    <row r="60" spans="2:17">
      <c r="B60" s="42" t="s">
        <v>15</v>
      </c>
      <c r="C60">
        <f t="shared" si="14"/>
        <v>14.9</v>
      </c>
      <c r="D60">
        <f t="shared" si="15"/>
        <v>25000</v>
      </c>
      <c r="E60" s="184">
        <f t="shared" si="16"/>
        <v>0.35</v>
      </c>
      <c r="F60">
        <f t="shared" si="17"/>
        <v>16250</v>
      </c>
      <c r="G60" s="189"/>
    </row>
    <row r="61" spans="2:17">
      <c r="C61" s="187">
        <f>SUM(C55:C60)</f>
        <v>450.1</v>
      </c>
      <c r="D61" s="187">
        <f>SUMPRODUCT(C55:C60,D55:D60)/C61</f>
        <v>25000</v>
      </c>
      <c r="E61" s="184">
        <f>SUMPRODUCT(C55:C60,E55:E60)/C61</f>
        <v>0.35</v>
      </c>
      <c r="F61" s="187">
        <f t="shared" si="17"/>
        <v>16250</v>
      </c>
      <c r="G61" s="189">
        <f>F61/1000/1000*J53</f>
        <v>-0.16250000000000001</v>
      </c>
    </row>
    <row r="67" spans="2:5">
      <c r="B67">
        <f>12*15*6</f>
        <v>1080</v>
      </c>
      <c r="C67">
        <f>15*6*30</f>
        <v>2700</v>
      </c>
      <c r="E67">
        <f>64*1000*1000/3600/1000*0.2</f>
        <v>3.5555555555555558</v>
      </c>
    </row>
    <row r="68" spans="2:5">
      <c r="B68">
        <f>B67*30</f>
        <v>32400</v>
      </c>
    </row>
    <row r="70" spans="2:5">
      <c r="B70">
        <f>753*2700</f>
        <v>2033100</v>
      </c>
    </row>
    <row r="71" spans="2:5">
      <c r="B71">
        <f>B70*0.33</f>
        <v>670923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F8F1-1D41-9349-8A05-863E7B07AB68}">
  <dimension ref="C4:F22"/>
  <sheetViews>
    <sheetView topLeftCell="C1" workbookViewId="0">
      <selection activeCell="E30" sqref="E30"/>
    </sheetView>
  </sheetViews>
  <sheetFormatPr defaultColWidth="11.42578125" defaultRowHeight="12.75"/>
  <cols>
    <col min="3" max="3" width="15.42578125" bestFit="1" customWidth="1"/>
    <col min="4" max="4" width="12.42578125" bestFit="1" customWidth="1"/>
    <col min="5" max="5" width="12.7109375" bestFit="1" customWidth="1"/>
  </cols>
  <sheetData>
    <row r="4" spans="3:6">
      <c r="D4" s="182" t="s">
        <v>61</v>
      </c>
      <c r="E4" s="182" t="s">
        <v>62</v>
      </c>
    </row>
    <row r="5" spans="3:6">
      <c r="C5" s="42" t="s">
        <v>28</v>
      </c>
      <c r="D5">
        <v>-150</v>
      </c>
      <c r="E5">
        <v>-110</v>
      </c>
      <c r="F5">
        <f>E5-D5</f>
        <v>40</v>
      </c>
    </row>
    <row r="6" spans="3:6">
      <c r="C6" s="42" t="s">
        <v>34</v>
      </c>
      <c r="D6">
        <v>-110</v>
      </c>
      <c r="E6">
        <v>-90</v>
      </c>
      <c r="F6">
        <f t="shared" ref="F6:F9" si="0">E6-D6</f>
        <v>20</v>
      </c>
    </row>
    <row r="7" spans="3:6">
      <c r="C7" s="42" t="s">
        <v>63</v>
      </c>
      <c r="D7">
        <v>-5</v>
      </c>
      <c r="E7">
        <v>11</v>
      </c>
      <c r="F7">
        <f t="shared" si="0"/>
        <v>16</v>
      </c>
    </row>
    <row r="8" spans="3:6">
      <c r="C8" s="42" t="s">
        <v>64</v>
      </c>
      <c r="D8">
        <v>0</v>
      </c>
      <c r="E8" s="42">
        <f>45000*16/30000</f>
        <v>24</v>
      </c>
      <c r="F8">
        <f t="shared" si="0"/>
        <v>24</v>
      </c>
    </row>
    <row r="9" spans="3:6">
      <c r="C9" s="42" t="s">
        <v>47</v>
      </c>
      <c r="D9">
        <v>-30</v>
      </c>
      <c r="E9">
        <v>10</v>
      </c>
      <c r="F9">
        <f t="shared" si="0"/>
        <v>40</v>
      </c>
    </row>
    <row r="10" spans="3:6">
      <c r="C10" s="42" t="s">
        <v>65</v>
      </c>
      <c r="D10">
        <v>165</v>
      </c>
      <c r="E10">
        <v>165</v>
      </c>
    </row>
    <row r="11" spans="3:6">
      <c r="C11" s="42" t="s">
        <v>66</v>
      </c>
      <c r="D11">
        <v>40</v>
      </c>
    </row>
    <row r="12" spans="3:6">
      <c r="C12" s="42" t="s">
        <v>67</v>
      </c>
      <c r="D12">
        <v>20</v>
      </c>
    </row>
    <row r="13" spans="3:6">
      <c r="C13" s="42" t="s">
        <v>68</v>
      </c>
      <c r="D13">
        <v>16</v>
      </c>
    </row>
    <row r="14" spans="3:6">
      <c r="C14" s="42" t="s">
        <v>69</v>
      </c>
      <c r="D14">
        <v>45</v>
      </c>
    </row>
    <row r="15" spans="3:6">
      <c r="C15" s="42" t="s">
        <v>70</v>
      </c>
      <c r="D15">
        <v>40</v>
      </c>
    </row>
    <row r="18" spans="3:5">
      <c r="C18" s="42" t="s">
        <v>71</v>
      </c>
      <c r="D18">
        <f>SUM(D5:D10)</f>
        <v>-130</v>
      </c>
      <c r="E18">
        <f>SUM(E5:E10)</f>
        <v>10</v>
      </c>
    </row>
    <row r="19" spans="3:5">
      <c r="D19" s="42"/>
    </row>
    <row r="22" spans="3:5">
      <c r="D22">
        <f>165/295</f>
        <v>0.55932203389830504</v>
      </c>
      <c r="E22">
        <f>165/200</f>
        <v>0.82499999999999996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2BD2-E5EF-8143-87B2-2EB7F48A2D21}">
  <dimension ref="A1:V120"/>
  <sheetViews>
    <sheetView showGridLines="0" tabSelected="1" zoomScale="96" zoomScaleNormal="96" workbookViewId="0">
      <selection activeCell="B21" sqref="B21"/>
    </sheetView>
  </sheetViews>
  <sheetFormatPr defaultColWidth="11.42578125" defaultRowHeight="12.75"/>
  <cols>
    <col min="1" max="1" width="12.7109375" customWidth="1"/>
    <col min="3" max="3" width="11.42578125" bestFit="1" customWidth="1"/>
  </cols>
  <sheetData>
    <row r="1" spans="1:13" s="35" customFormat="1" ht="23.25">
      <c r="A1" s="36" t="s">
        <v>72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s="5" customFormat="1" ht="20.100000000000001" customHeight="1" thickBot="1">
      <c r="A2" s="3"/>
      <c r="B2" s="3"/>
      <c r="C2" s="3"/>
      <c r="D2" s="3"/>
      <c r="E2" s="4" t="s">
        <v>73</v>
      </c>
      <c r="F2" s="3"/>
      <c r="G2" s="3"/>
      <c r="H2" s="3"/>
      <c r="I2" s="3"/>
      <c r="J2" s="3"/>
      <c r="K2" s="3"/>
      <c r="L2" s="3"/>
      <c r="M2" s="3"/>
    </row>
    <row r="3" spans="1:13" s="5" customFormat="1" ht="20.100000000000001" customHeight="1" thickTop="1">
      <c r="A3" s="6" t="s">
        <v>74</v>
      </c>
      <c r="B3" s="7"/>
      <c r="C3" s="8"/>
      <c r="D3" s="3"/>
      <c r="E3" s="6" t="s">
        <v>75</v>
      </c>
      <c r="F3" s="7"/>
      <c r="G3" s="8"/>
      <c r="H3" s="3"/>
      <c r="I3" s="39" t="s">
        <v>76</v>
      </c>
      <c r="J3" s="21"/>
      <c r="K3" s="22"/>
      <c r="L3" s="3"/>
      <c r="M3" s="3"/>
    </row>
    <row r="4" spans="1:13" s="5" customFormat="1" ht="20.100000000000001" customHeight="1" thickBot="1">
      <c r="A4" s="9" t="s">
        <v>77</v>
      </c>
      <c r="B4" s="3"/>
      <c r="C4" s="116">
        <f>Sheet1!K22</f>
        <v>11250000</v>
      </c>
      <c r="D4" s="3"/>
      <c r="E4" s="11" t="s">
        <v>78</v>
      </c>
      <c r="F4" s="12"/>
      <c r="G4" s="121">
        <v>0.3</v>
      </c>
      <c r="H4" s="3"/>
      <c r="I4" s="40" t="s">
        <v>79</v>
      </c>
      <c r="J4" s="3"/>
      <c r="K4" s="111">
        <v>1</v>
      </c>
      <c r="L4" s="3"/>
      <c r="M4" s="3"/>
    </row>
    <row r="5" spans="1:13" s="5" customFormat="1" ht="20.100000000000001" customHeight="1" thickTop="1">
      <c r="A5" s="9" t="s">
        <v>80</v>
      </c>
      <c r="B5" s="3"/>
      <c r="C5" s="116">
        <v>0</v>
      </c>
      <c r="D5" s="3"/>
      <c r="E5" s="3"/>
      <c r="F5" s="3"/>
      <c r="G5" s="178"/>
      <c r="H5" s="3"/>
      <c r="I5" s="23" t="s">
        <v>81</v>
      </c>
      <c r="J5" s="3"/>
      <c r="K5" s="112">
        <v>0.12</v>
      </c>
      <c r="L5" s="3"/>
      <c r="M5" s="3"/>
    </row>
    <row r="6" spans="1:13" s="5" customFormat="1" ht="20.100000000000001" customHeight="1">
      <c r="A6" s="9" t="s">
        <v>82</v>
      </c>
      <c r="B6" s="3"/>
      <c r="C6" s="115">
        <f>Sheet1!K24</f>
        <v>15</v>
      </c>
      <c r="D6" s="3"/>
      <c r="E6" s="3"/>
      <c r="F6" s="3"/>
      <c r="G6" s="179"/>
      <c r="H6" s="3"/>
      <c r="I6" s="23" t="s">
        <v>83</v>
      </c>
      <c r="J6" s="3"/>
      <c r="K6" s="111">
        <v>1</v>
      </c>
      <c r="L6" s="3"/>
      <c r="M6" s="3"/>
    </row>
    <row r="7" spans="1:13" s="5" customFormat="1" ht="20.100000000000001" customHeight="1">
      <c r="A7" s="9" t="s">
        <v>84</v>
      </c>
      <c r="B7" s="3"/>
      <c r="C7" s="116">
        <v>0</v>
      </c>
      <c r="D7" s="3"/>
      <c r="E7" s="42"/>
      <c r="F7" s="42"/>
      <c r="G7" s="42"/>
      <c r="H7" s="3"/>
      <c r="I7" s="23" t="s">
        <v>85</v>
      </c>
      <c r="J7" s="3"/>
      <c r="K7" s="113">
        <v>0.04</v>
      </c>
      <c r="L7" s="3"/>
      <c r="M7" s="3"/>
    </row>
    <row r="8" spans="1:13" s="5" customFormat="1" ht="20.100000000000001" customHeight="1">
      <c r="A8" s="9" t="s">
        <v>86</v>
      </c>
      <c r="B8" s="3"/>
      <c r="C8" s="115">
        <v>1</v>
      </c>
      <c r="D8" s="3"/>
      <c r="E8" s="3"/>
      <c r="F8" s="3"/>
      <c r="G8" s="13"/>
      <c r="H8" s="3"/>
      <c r="I8" s="23" t="s">
        <v>87</v>
      </c>
      <c r="J8" s="3"/>
      <c r="K8" s="113">
        <v>0.08</v>
      </c>
      <c r="L8" s="3"/>
      <c r="M8" s="3"/>
    </row>
    <row r="9" spans="1:13" s="5" customFormat="1" ht="20.100000000000001" customHeight="1">
      <c r="A9" s="9" t="s">
        <v>88</v>
      </c>
      <c r="B9" s="3"/>
      <c r="C9" s="117">
        <v>0</v>
      </c>
      <c r="D9" s="3"/>
      <c r="E9" s="3"/>
      <c r="F9" s="3"/>
      <c r="G9" s="13"/>
      <c r="H9" s="3"/>
      <c r="I9" s="23" t="s">
        <v>89</v>
      </c>
      <c r="J9" s="3"/>
      <c r="K9" s="111">
        <v>0.5</v>
      </c>
      <c r="L9" s="3"/>
      <c r="M9" s="3"/>
    </row>
    <row r="10" spans="1:13" s="5" customFormat="1" ht="20.100000000000001" customHeight="1" thickBot="1">
      <c r="A10" s="11" t="s">
        <v>90</v>
      </c>
      <c r="B10" s="12"/>
      <c r="C10" s="118">
        <v>0</v>
      </c>
      <c r="D10" s="3"/>
      <c r="E10" s="3"/>
      <c r="F10" s="3"/>
      <c r="G10" s="13"/>
      <c r="H10" s="3"/>
      <c r="I10" s="26" t="s">
        <v>91</v>
      </c>
      <c r="J10" s="41"/>
      <c r="K10" s="113">
        <v>0.08</v>
      </c>
      <c r="L10" s="3"/>
      <c r="M10" s="3"/>
    </row>
    <row r="11" spans="1:13" s="5" customFormat="1" ht="20.100000000000001" customHeight="1" thickTop="1" thickBot="1">
      <c r="A11" s="3"/>
      <c r="B11" s="3"/>
      <c r="C11" s="13"/>
      <c r="D11" s="3"/>
      <c r="E11"/>
      <c r="F11"/>
      <c r="G11"/>
      <c r="H11"/>
      <c r="I11" s="3" t="s">
        <v>92</v>
      </c>
      <c r="J11" s="3"/>
      <c r="K11" s="114">
        <f>IF(K4=1,K5,(K7+K6*K8)*(1-K9)+K10*(1-G4)*K9)</f>
        <v>0.12</v>
      </c>
      <c r="L11" s="3"/>
      <c r="M11" s="3"/>
    </row>
    <row r="12" spans="1:13" s="5" customFormat="1" ht="20.100000000000001" customHeight="1" thickTop="1">
      <c r="A12" s="6" t="s">
        <v>93</v>
      </c>
      <c r="B12" s="7"/>
      <c r="C12" s="14"/>
      <c r="D12" s="3"/>
      <c r="E12"/>
      <c r="F12"/>
      <c r="G12"/>
      <c r="H12"/>
      <c r="I12"/>
      <c r="J12" s="3"/>
      <c r="K12" s="3"/>
      <c r="L12" s="3"/>
      <c r="M12" s="3"/>
    </row>
    <row r="13" spans="1:13" s="5" customFormat="1" ht="20.100000000000001" customHeight="1">
      <c r="A13" s="9" t="s">
        <v>94</v>
      </c>
      <c r="B13" s="3"/>
      <c r="C13" s="119">
        <v>0</v>
      </c>
      <c r="D13" s="3"/>
      <c r="E13"/>
      <c r="F13"/>
      <c r="G13"/>
      <c r="H13"/>
      <c r="I13"/>
      <c r="J13" s="3"/>
      <c r="K13" s="3"/>
      <c r="L13" s="3"/>
      <c r="M13" s="3"/>
    </row>
    <row r="14" spans="1:13" s="5" customFormat="1" ht="20.100000000000001" customHeight="1">
      <c r="A14" s="9" t="s">
        <v>95</v>
      </c>
      <c r="B14" s="3"/>
      <c r="C14" s="120">
        <v>0</v>
      </c>
      <c r="D14" s="3"/>
      <c r="E14"/>
      <c r="F14"/>
      <c r="G14"/>
      <c r="H14"/>
      <c r="I14"/>
      <c r="J14" s="3"/>
      <c r="K14" s="3"/>
      <c r="L14" s="3"/>
      <c r="M14" s="3"/>
    </row>
    <row r="15" spans="1:13" s="5" customFormat="1" ht="20.100000000000001" customHeight="1" thickBot="1">
      <c r="A15" s="11" t="s">
        <v>96</v>
      </c>
      <c r="B15" s="12"/>
      <c r="C15" s="121">
        <v>0</v>
      </c>
      <c r="D15" s="3"/>
      <c r="E15"/>
      <c r="F15"/>
      <c r="G15"/>
      <c r="H15"/>
      <c r="I15"/>
      <c r="J15" s="3"/>
      <c r="K15" s="3"/>
      <c r="L15" s="3"/>
      <c r="M15" s="3"/>
    </row>
    <row r="16" spans="1:13" s="5" customFormat="1" ht="20.100000000000001" customHeight="1" thickTop="1" thickBot="1">
      <c r="A16" s="3"/>
      <c r="B16" s="3"/>
      <c r="C16" s="3"/>
      <c r="D16" s="3"/>
      <c r="E16" s="3"/>
      <c r="F16" s="3"/>
      <c r="G16" s="3"/>
      <c r="H16" s="3"/>
      <c r="I16"/>
      <c r="J16" s="3"/>
      <c r="K16" s="3"/>
      <c r="L16" s="3"/>
      <c r="M16" s="3"/>
    </row>
    <row r="17" spans="1:22" s="5" customFormat="1" ht="20.100000000000001" customHeight="1" thickTop="1">
      <c r="A17" s="6" t="s">
        <v>97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02"/>
      <c r="O17" s="102"/>
      <c r="P17" s="102"/>
      <c r="Q17" s="102"/>
      <c r="R17" s="102"/>
      <c r="S17" s="102"/>
      <c r="T17" s="102"/>
      <c r="U17" s="102"/>
      <c r="V17" s="103"/>
    </row>
    <row r="18" spans="1:22" s="1" customFormat="1" ht="20.100000000000001" customHeight="1">
      <c r="A18" s="10"/>
      <c r="B18" s="15"/>
      <c r="C18" s="15">
        <v>1</v>
      </c>
      <c r="D18" s="15">
        <v>2</v>
      </c>
      <c r="E18" s="15">
        <v>3</v>
      </c>
      <c r="F18" s="15">
        <v>4</v>
      </c>
      <c r="G18" s="15">
        <v>5</v>
      </c>
      <c r="H18" s="15">
        <v>6</v>
      </c>
      <c r="I18" s="15">
        <v>7</v>
      </c>
      <c r="J18" s="15">
        <v>8</v>
      </c>
      <c r="K18" s="15">
        <v>9</v>
      </c>
      <c r="L18" s="15">
        <v>10</v>
      </c>
      <c r="M18" s="15">
        <v>11</v>
      </c>
      <c r="N18" s="15">
        <v>12</v>
      </c>
      <c r="O18" s="15">
        <v>13</v>
      </c>
      <c r="P18" s="15">
        <v>14</v>
      </c>
      <c r="Q18" s="15">
        <v>15</v>
      </c>
      <c r="R18" s="15">
        <v>16</v>
      </c>
      <c r="S18" s="15">
        <v>17</v>
      </c>
      <c r="T18" s="15">
        <v>18</v>
      </c>
      <c r="U18" s="15">
        <v>19</v>
      </c>
      <c r="V18" s="16">
        <v>20</v>
      </c>
    </row>
    <row r="19" spans="1:22" s="5" customFormat="1" ht="20.100000000000001" customHeight="1">
      <c r="A19" s="9" t="s">
        <v>98</v>
      </c>
      <c r="B19" s="3"/>
      <c r="C19" s="3" t="s">
        <v>99</v>
      </c>
      <c r="D19" s="17">
        <f>(D46/C46)-1</f>
        <v>0.12710578754604929</v>
      </c>
      <c r="E19" s="17">
        <f t="shared" ref="E19:V19" si="0">(E46/D46)-1</f>
        <v>0.11559113055248837</v>
      </c>
      <c r="F19" s="17">
        <f t="shared" si="0"/>
        <v>0.10620459913268032</v>
      </c>
      <c r="G19" s="17">
        <f t="shared" si="0"/>
        <v>9.8408300052583941E-2</v>
      </c>
      <c r="H19" s="17">
        <f t="shared" si="0"/>
        <v>9.1831523440845997E-2</v>
      </c>
      <c r="I19" s="17">
        <f t="shared" si="0"/>
        <v>8.6210472500583446E-2</v>
      </c>
      <c r="J19" s="17">
        <f t="shared" si="0"/>
        <v>8.1352312972705842E-2</v>
      </c>
      <c r="K19" s="17">
        <f t="shared" si="0"/>
        <v>7.7112814941681318E-2</v>
      </c>
      <c r="L19" s="17">
        <f t="shared" si="0"/>
        <v>7.3381946829314204E-2</v>
      </c>
      <c r="M19" s="17">
        <f t="shared" si="0"/>
        <v>7.0074306468662639E-2</v>
      </c>
      <c r="N19" s="17">
        <f t="shared" si="0"/>
        <v>6.712259484802674E-2</v>
      </c>
      <c r="O19" s="17">
        <f t="shared" si="0"/>
        <v>6.4473060594340881E-2</v>
      </c>
      <c r="P19" s="17">
        <f t="shared" si="0"/>
        <v>6.2082254174005591E-2</v>
      </c>
      <c r="Q19" s="17">
        <f t="shared" si="0"/>
        <v>5.9914672595527962E-2</v>
      </c>
      <c r="R19" s="17">
        <f t="shared" si="0"/>
        <v>-1</v>
      </c>
      <c r="S19" s="17" t="e">
        <f t="shared" si="0"/>
        <v>#DIV/0!</v>
      </c>
      <c r="T19" s="17" t="e">
        <f t="shared" si="0"/>
        <v>#DIV/0!</v>
      </c>
      <c r="U19" s="17" t="e">
        <f t="shared" si="0"/>
        <v>#DIV/0!</v>
      </c>
      <c r="V19" s="18" t="e">
        <f t="shared" si="0"/>
        <v>#DIV/0!</v>
      </c>
    </row>
    <row r="20" spans="1:22" s="5" customFormat="1" ht="20.100000000000001" customHeight="1">
      <c r="A20" s="158" t="s">
        <v>100</v>
      </c>
      <c r="B20" s="3"/>
      <c r="C20" s="3"/>
      <c r="D20" s="134">
        <v>2.5000000000000001E-2</v>
      </c>
      <c r="E20" s="134">
        <f t="shared" ref="E20:T27" si="1">D20</f>
        <v>2.5000000000000001E-2</v>
      </c>
      <c r="F20" s="134">
        <f t="shared" si="1"/>
        <v>2.5000000000000001E-2</v>
      </c>
      <c r="G20" s="134">
        <f t="shared" si="1"/>
        <v>2.5000000000000001E-2</v>
      </c>
      <c r="H20" s="134">
        <f t="shared" si="1"/>
        <v>2.5000000000000001E-2</v>
      </c>
      <c r="I20" s="134">
        <f t="shared" si="1"/>
        <v>2.5000000000000001E-2</v>
      </c>
      <c r="J20" s="134">
        <f t="shared" si="1"/>
        <v>2.5000000000000001E-2</v>
      </c>
      <c r="K20" s="134">
        <f t="shared" si="1"/>
        <v>2.5000000000000001E-2</v>
      </c>
      <c r="L20" s="134">
        <f t="shared" si="1"/>
        <v>2.5000000000000001E-2</v>
      </c>
      <c r="M20" s="134">
        <f t="shared" si="1"/>
        <v>2.5000000000000001E-2</v>
      </c>
      <c r="N20" s="134">
        <f t="shared" si="1"/>
        <v>2.5000000000000001E-2</v>
      </c>
      <c r="O20" s="134">
        <f t="shared" si="1"/>
        <v>2.5000000000000001E-2</v>
      </c>
      <c r="P20" s="134">
        <f t="shared" si="1"/>
        <v>2.5000000000000001E-2</v>
      </c>
      <c r="Q20" s="134">
        <f t="shared" si="1"/>
        <v>2.5000000000000001E-2</v>
      </c>
      <c r="R20" s="134">
        <f t="shared" si="1"/>
        <v>2.5000000000000001E-2</v>
      </c>
      <c r="S20" s="134">
        <f t="shared" si="1"/>
        <v>2.5000000000000001E-2</v>
      </c>
      <c r="T20" s="134">
        <f t="shared" si="1"/>
        <v>2.5000000000000001E-2</v>
      </c>
      <c r="U20" s="134">
        <f t="shared" ref="U20:V23" si="2">T20</f>
        <v>2.5000000000000001E-2</v>
      </c>
      <c r="V20" s="135">
        <f t="shared" si="2"/>
        <v>2.5000000000000001E-2</v>
      </c>
    </row>
    <row r="21" spans="1:22" s="5" customFormat="1" ht="20.100000000000001" customHeight="1">
      <c r="A21" s="158" t="s">
        <v>101</v>
      </c>
      <c r="B21" s="3"/>
      <c r="C21" s="3"/>
      <c r="D21" s="134">
        <v>0</v>
      </c>
      <c r="E21" s="134">
        <f t="shared" si="1"/>
        <v>0</v>
      </c>
      <c r="F21" s="134">
        <f t="shared" si="1"/>
        <v>0</v>
      </c>
      <c r="G21" s="134">
        <f t="shared" si="1"/>
        <v>0</v>
      </c>
      <c r="H21" s="134">
        <f t="shared" si="1"/>
        <v>0</v>
      </c>
      <c r="I21" s="134">
        <f t="shared" si="1"/>
        <v>0</v>
      </c>
      <c r="J21" s="134">
        <f t="shared" si="1"/>
        <v>0</v>
      </c>
      <c r="K21" s="134">
        <f t="shared" si="1"/>
        <v>0</v>
      </c>
      <c r="L21" s="134">
        <f t="shared" si="1"/>
        <v>0</v>
      </c>
      <c r="M21" s="134">
        <f t="shared" si="1"/>
        <v>0</v>
      </c>
      <c r="N21" s="134">
        <f t="shared" si="1"/>
        <v>0</v>
      </c>
      <c r="O21" s="134">
        <f t="shared" si="1"/>
        <v>0</v>
      </c>
      <c r="P21" s="134">
        <f t="shared" si="1"/>
        <v>0</v>
      </c>
      <c r="Q21" s="134">
        <f t="shared" si="1"/>
        <v>0</v>
      </c>
      <c r="R21" s="134">
        <f t="shared" si="1"/>
        <v>0</v>
      </c>
      <c r="S21" s="134">
        <f t="shared" si="1"/>
        <v>0</v>
      </c>
      <c r="T21" s="134">
        <f t="shared" si="1"/>
        <v>0</v>
      </c>
      <c r="U21" s="134">
        <f t="shared" si="2"/>
        <v>0</v>
      </c>
      <c r="V21" s="135">
        <f t="shared" si="2"/>
        <v>0</v>
      </c>
    </row>
    <row r="22" spans="1:22" s="5" customFormat="1" ht="20.100000000000001" customHeight="1">
      <c r="A22" s="158" t="s">
        <v>102</v>
      </c>
      <c r="B22" s="3"/>
      <c r="C22" s="3"/>
      <c r="D22" s="134">
        <v>0</v>
      </c>
      <c r="E22" s="134">
        <f t="shared" si="1"/>
        <v>0</v>
      </c>
      <c r="F22" s="134">
        <f t="shared" si="1"/>
        <v>0</v>
      </c>
      <c r="G22" s="134">
        <f t="shared" si="1"/>
        <v>0</v>
      </c>
      <c r="H22" s="134">
        <f t="shared" si="1"/>
        <v>0</v>
      </c>
      <c r="I22" s="134">
        <f t="shared" si="1"/>
        <v>0</v>
      </c>
      <c r="J22" s="134">
        <f t="shared" si="1"/>
        <v>0</v>
      </c>
      <c r="K22" s="134">
        <f t="shared" si="1"/>
        <v>0</v>
      </c>
      <c r="L22" s="134">
        <f t="shared" si="1"/>
        <v>0</v>
      </c>
      <c r="M22" s="134">
        <f t="shared" si="1"/>
        <v>0</v>
      </c>
      <c r="N22" s="134">
        <f t="shared" si="1"/>
        <v>0</v>
      </c>
      <c r="O22" s="134">
        <f t="shared" si="1"/>
        <v>0</v>
      </c>
      <c r="P22" s="134">
        <f t="shared" si="1"/>
        <v>0</v>
      </c>
      <c r="Q22" s="134">
        <f t="shared" si="1"/>
        <v>0</v>
      </c>
      <c r="R22" s="134">
        <f t="shared" si="1"/>
        <v>0</v>
      </c>
      <c r="S22" s="134">
        <f t="shared" si="1"/>
        <v>0</v>
      </c>
      <c r="T22" s="134">
        <f t="shared" si="1"/>
        <v>0</v>
      </c>
      <c r="U22" s="134">
        <f t="shared" si="2"/>
        <v>0</v>
      </c>
      <c r="V22" s="135">
        <f t="shared" si="2"/>
        <v>0</v>
      </c>
    </row>
    <row r="23" spans="1:22" s="5" customFormat="1" ht="20.100000000000001" customHeight="1">
      <c r="A23" s="158" t="s">
        <v>103</v>
      </c>
      <c r="B23" s="3"/>
      <c r="C23" s="3"/>
      <c r="D23" s="134">
        <v>0</v>
      </c>
      <c r="E23" s="134">
        <f t="shared" si="1"/>
        <v>0</v>
      </c>
      <c r="F23" s="134">
        <f t="shared" si="1"/>
        <v>0</v>
      </c>
      <c r="G23" s="134">
        <f t="shared" si="1"/>
        <v>0</v>
      </c>
      <c r="H23" s="134">
        <f t="shared" si="1"/>
        <v>0</v>
      </c>
      <c r="I23" s="134">
        <f t="shared" si="1"/>
        <v>0</v>
      </c>
      <c r="J23" s="134">
        <f t="shared" si="1"/>
        <v>0</v>
      </c>
      <c r="K23" s="134">
        <f t="shared" si="1"/>
        <v>0</v>
      </c>
      <c r="L23" s="134">
        <f t="shared" si="1"/>
        <v>0</v>
      </c>
      <c r="M23" s="134">
        <f t="shared" si="1"/>
        <v>0</v>
      </c>
      <c r="N23" s="134">
        <f t="shared" si="1"/>
        <v>0</v>
      </c>
      <c r="O23" s="134">
        <f t="shared" si="1"/>
        <v>0</v>
      </c>
      <c r="P23" s="134">
        <f t="shared" si="1"/>
        <v>0</v>
      </c>
      <c r="Q23" s="134">
        <f t="shared" si="1"/>
        <v>0</v>
      </c>
      <c r="R23" s="134">
        <f t="shared" si="1"/>
        <v>0</v>
      </c>
      <c r="S23" s="134">
        <f t="shared" si="1"/>
        <v>0</v>
      </c>
      <c r="T23" s="134">
        <f t="shared" si="1"/>
        <v>0</v>
      </c>
      <c r="U23" s="134">
        <f t="shared" si="2"/>
        <v>0</v>
      </c>
      <c r="V23" s="135">
        <f t="shared" si="2"/>
        <v>0</v>
      </c>
    </row>
    <row r="24" spans="1:22" s="5" customFormat="1" ht="20.100000000000001" customHeight="1">
      <c r="A24" s="9" t="s">
        <v>104</v>
      </c>
      <c r="B24" s="3"/>
      <c r="C24" s="3" t="s">
        <v>99</v>
      </c>
      <c r="D24" s="17">
        <f>(D51/C51)-1</f>
        <v>2.4999999999999911E-2</v>
      </c>
      <c r="E24" s="17">
        <f t="shared" ref="E24:V24" si="3">(E51/D51)-1</f>
        <v>2.4999999999999911E-2</v>
      </c>
      <c r="F24" s="17">
        <f t="shared" si="3"/>
        <v>2.4999999999999911E-2</v>
      </c>
      <c r="G24" s="17">
        <f t="shared" si="3"/>
        <v>2.4999999999999911E-2</v>
      </c>
      <c r="H24" s="17">
        <f t="shared" si="3"/>
        <v>2.4999999999999911E-2</v>
      </c>
      <c r="I24" s="17">
        <f t="shared" si="3"/>
        <v>2.4999999999999911E-2</v>
      </c>
      <c r="J24" s="17">
        <f t="shared" si="3"/>
        <v>2.4999999999999911E-2</v>
      </c>
      <c r="K24" s="17">
        <f t="shared" si="3"/>
        <v>2.4999999999999911E-2</v>
      </c>
      <c r="L24" s="17">
        <f t="shared" si="3"/>
        <v>2.4999999999999911E-2</v>
      </c>
      <c r="M24" s="17">
        <f t="shared" si="3"/>
        <v>2.4999999999999911E-2</v>
      </c>
      <c r="N24" s="17">
        <f t="shared" si="3"/>
        <v>2.4999999999999911E-2</v>
      </c>
      <c r="O24" s="17">
        <f t="shared" si="3"/>
        <v>2.4999999999999911E-2</v>
      </c>
      <c r="P24" s="17">
        <f t="shared" si="3"/>
        <v>2.4999999999999911E-2</v>
      </c>
      <c r="Q24" s="17">
        <f t="shared" si="3"/>
        <v>2.4999999999999911E-2</v>
      </c>
      <c r="R24" s="17">
        <f t="shared" si="3"/>
        <v>-1</v>
      </c>
      <c r="S24" s="17" t="e">
        <f t="shared" si="3"/>
        <v>#DIV/0!</v>
      </c>
      <c r="T24" s="17" t="e">
        <f t="shared" si="3"/>
        <v>#DIV/0!</v>
      </c>
      <c r="U24" s="17" t="e">
        <f t="shared" si="3"/>
        <v>#DIV/0!</v>
      </c>
      <c r="V24" s="18" t="e">
        <f t="shared" si="3"/>
        <v>#DIV/0!</v>
      </c>
    </row>
    <row r="25" spans="1:22" s="5" customFormat="1" ht="20.100000000000001" customHeight="1">
      <c r="A25" s="173" t="s">
        <v>105</v>
      </c>
      <c r="B25" s="3"/>
      <c r="C25" s="3"/>
      <c r="D25" s="134">
        <v>2.5000000000000001E-2</v>
      </c>
      <c r="E25" s="134">
        <f t="shared" si="1"/>
        <v>2.5000000000000001E-2</v>
      </c>
      <c r="F25" s="134">
        <f t="shared" si="1"/>
        <v>2.5000000000000001E-2</v>
      </c>
      <c r="G25" s="134">
        <f t="shared" si="1"/>
        <v>2.5000000000000001E-2</v>
      </c>
      <c r="H25" s="134">
        <f t="shared" si="1"/>
        <v>2.5000000000000001E-2</v>
      </c>
      <c r="I25" s="134">
        <f t="shared" si="1"/>
        <v>2.5000000000000001E-2</v>
      </c>
      <c r="J25" s="134">
        <f t="shared" si="1"/>
        <v>2.5000000000000001E-2</v>
      </c>
      <c r="K25" s="134">
        <f t="shared" si="1"/>
        <v>2.5000000000000001E-2</v>
      </c>
      <c r="L25" s="134">
        <f t="shared" si="1"/>
        <v>2.5000000000000001E-2</v>
      </c>
      <c r="M25" s="134">
        <f t="shared" si="1"/>
        <v>2.5000000000000001E-2</v>
      </c>
      <c r="N25" s="134">
        <f t="shared" si="1"/>
        <v>2.5000000000000001E-2</v>
      </c>
      <c r="O25" s="134">
        <f t="shared" si="1"/>
        <v>2.5000000000000001E-2</v>
      </c>
      <c r="P25" s="134">
        <f t="shared" si="1"/>
        <v>2.5000000000000001E-2</v>
      </c>
      <c r="Q25" s="134">
        <f t="shared" si="1"/>
        <v>2.5000000000000001E-2</v>
      </c>
      <c r="R25" s="134">
        <f t="shared" si="1"/>
        <v>2.5000000000000001E-2</v>
      </c>
      <c r="S25" s="134">
        <f t="shared" si="1"/>
        <v>2.5000000000000001E-2</v>
      </c>
      <c r="T25" s="134">
        <f t="shared" si="1"/>
        <v>2.5000000000000001E-2</v>
      </c>
      <c r="U25" s="134">
        <f t="shared" ref="U25:V27" si="4">T25</f>
        <v>2.5000000000000001E-2</v>
      </c>
      <c r="V25" s="135">
        <f t="shared" si="4"/>
        <v>2.5000000000000001E-2</v>
      </c>
    </row>
    <row r="26" spans="1:22" s="5" customFormat="1" ht="20.100000000000001" customHeight="1">
      <c r="A26" s="173" t="s">
        <v>106</v>
      </c>
      <c r="B26" s="3"/>
      <c r="C26" s="3"/>
      <c r="D26" s="134">
        <v>2.5000000000000001E-2</v>
      </c>
      <c r="E26" s="134">
        <f t="shared" si="1"/>
        <v>2.5000000000000001E-2</v>
      </c>
      <c r="F26" s="134">
        <f t="shared" si="1"/>
        <v>2.5000000000000001E-2</v>
      </c>
      <c r="G26" s="134">
        <f t="shared" si="1"/>
        <v>2.5000000000000001E-2</v>
      </c>
      <c r="H26" s="134">
        <f t="shared" si="1"/>
        <v>2.5000000000000001E-2</v>
      </c>
      <c r="I26" s="134">
        <f t="shared" si="1"/>
        <v>2.5000000000000001E-2</v>
      </c>
      <c r="J26" s="134">
        <f t="shared" si="1"/>
        <v>2.5000000000000001E-2</v>
      </c>
      <c r="K26" s="134">
        <f t="shared" si="1"/>
        <v>2.5000000000000001E-2</v>
      </c>
      <c r="L26" s="134">
        <f t="shared" si="1"/>
        <v>2.5000000000000001E-2</v>
      </c>
      <c r="M26" s="134">
        <f t="shared" si="1"/>
        <v>2.5000000000000001E-2</v>
      </c>
      <c r="N26" s="134">
        <f t="shared" si="1"/>
        <v>2.5000000000000001E-2</v>
      </c>
      <c r="O26" s="134">
        <f t="shared" si="1"/>
        <v>2.5000000000000001E-2</v>
      </c>
      <c r="P26" s="134">
        <f t="shared" si="1"/>
        <v>2.5000000000000001E-2</v>
      </c>
      <c r="Q26" s="134">
        <f t="shared" si="1"/>
        <v>2.5000000000000001E-2</v>
      </c>
      <c r="R26" s="134">
        <f t="shared" si="1"/>
        <v>2.5000000000000001E-2</v>
      </c>
      <c r="S26" s="134">
        <f t="shared" si="1"/>
        <v>2.5000000000000001E-2</v>
      </c>
      <c r="T26" s="134">
        <f t="shared" si="1"/>
        <v>2.5000000000000001E-2</v>
      </c>
      <c r="U26" s="134">
        <f t="shared" si="4"/>
        <v>2.5000000000000001E-2</v>
      </c>
      <c r="V26" s="135">
        <f t="shared" si="4"/>
        <v>2.5000000000000001E-2</v>
      </c>
    </row>
    <row r="27" spans="1:22" s="5" customFormat="1" ht="20.100000000000001" customHeight="1">
      <c r="A27" s="173" t="s">
        <v>107</v>
      </c>
      <c r="B27" s="3"/>
      <c r="C27" s="3"/>
      <c r="D27" s="134">
        <v>0</v>
      </c>
      <c r="E27" s="134">
        <f t="shared" si="1"/>
        <v>0</v>
      </c>
      <c r="F27" s="134">
        <f t="shared" si="1"/>
        <v>0</v>
      </c>
      <c r="G27" s="134">
        <f t="shared" si="1"/>
        <v>0</v>
      </c>
      <c r="H27" s="134">
        <f t="shared" si="1"/>
        <v>0</v>
      </c>
      <c r="I27" s="134">
        <f t="shared" si="1"/>
        <v>0</v>
      </c>
      <c r="J27" s="134">
        <f t="shared" si="1"/>
        <v>0</v>
      </c>
      <c r="K27" s="134">
        <f t="shared" si="1"/>
        <v>0</v>
      </c>
      <c r="L27" s="134">
        <f t="shared" si="1"/>
        <v>0</v>
      </c>
      <c r="M27" s="134">
        <f t="shared" si="1"/>
        <v>0</v>
      </c>
      <c r="N27" s="134">
        <f t="shared" si="1"/>
        <v>0</v>
      </c>
      <c r="O27" s="134">
        <f t="shared" si="1"/>
        <v>0</v>
      </c>
      <c r="P27" s="134">
        <f t="shared" si="1"/>
        <v>0</v>
      </c>
      <c r="Q27" s="134">
        <f t="shared" si="1"/>
        <v>0</v>
      </c>
      <c r="R27" s="134">
        <f t="shared" si="1"/>
        <v>0</v>
      </c>
      <c r="S27" s="134">
        <f t="shared" si="1"/>
        <v>0</v>
      </c>
      <c r="T27" s="134">
        <f t="shared" si="1"/>
        <v>0</v>
      </c>
      <c r="U27" s="134">
        <f t="shared" si="4"/>
        <v>0</v>
      </c>
      <c r="V27" s="135">
        <f t="shared" si="4"/>
        <v>0</v>
      </c>
    </row>
    <row r="28" spans="1:22" s="5" customFormat="1" ht="20.100000000000001" customHeight="1" thickBo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04"/>
      <c r="O28" s="104"/>
      <c r="P28" s="104"/>
      <c r="Q28" s="104"/>
      <c r="R28" s="104"/>
      <c r="S28" s="104"/>
      <c r="T28" s="104"/>
      <c r="U28" s="104"/>
      <c r="V28" s="105"/>
    </row>
    <row r="29" spans="1:22" s="5" customFormat="1" ht="13.5" thickTop="1">
      <c r="A29" s="3"/>
      <c r="B29" s="3"/>
      <c r="C29" s="3"/>
      <c r="D29" s="3"/>
      <c r="E29" s="3"/>
      <c r="F29" s="3" t="s">
        <v>108</v>
      </c>
      <c r="G29" s="3"/>
      <c r="H29" s="3"/>
      <c r="I29" s="3"/>
      <c r="J29" s="3"/>
      <c r="K29" s="3"/>
      <c r="L29" s="3"/>
      <c r="M29" s="3"/>
      <c r="N29" s="42"/>
      <c r="O29" s="42"/>
      <c r="P29" s="42"/>
      <c r="Q29" s="42"/>
      <c r="R29" s="42"/>
      <c r="S29" s="42"/>
      <c r="T29" s="42"/>
      <c r="U29" s="42"/>
      <c r="V29" s="42"/>
    </row>
    <row r="30" spans="1:22" s="5" customFormat="1">
      <c r="A30" s="3"/>
      <c r="B30" s="3">
        <v>0</v>
      </c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>
        <v>6</v>
      </c>
      <c r="I30" s="3">
        <v>7</v>
      </c>
      <c r="J30" s="3">
        <v>8</v>
      </c>
      <c r="K30" s="3">
        <v>9</v>
      </c>
      <c r="L30" s="3">
        <v>10</v>
      </c>
      <c r="M30" s="3">
        <v>11</v>
      </c>
      <c r="N30" s="3">
        <v>12</v>
      </c>
      <c r="O30" s="3">
        <v>13</v>
      </c>
      <c r="P30" s="3">
        <v>14</v>
      </c>
      <c r="Q30" s="3">
        <v>15</v>
      </c>
      <c r="R30" s="3">
        <v>16</v>
      </c>
      <c r="S30" s="3">
        <v>17</v>
      </c>
      <c r="T30" s="3">
        <v>18</v>
      </c>
      <c r="U30" s="3">
        <v>19</v>
      </c>
      <c r="V30" s="3">
        <v>20</v>
      </c>
    </row>
    <row r="31" spans="1:22" s="5" customFormat="1">
      <c r="A31" s="3" t="s">
        <v>109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2"/>
      <c r="O31" s="42"/>
      <c r="P31" s="42"/>
      <c r="Q31" s="42"/>
      <c r="R31" s="42"/>
      <c r="S31" s="42"/>
      <c r="T31" s="42"/>
      <c r="U31" s="42"/>
      <c r="V31" s="42"/>
    </row>
    <row r="32" spans="1:22" s="5" customFormat="1">
      <c r="A32" s="168" t="s">
        <v>110</v>
      </c>
      <c r="B32" s="160">
        <f>C4</f>
        <v>11250000</v>
      </c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</row>
    <row r="33" spans="1:22" s="5" customFormat="1">
      <c r="A33" s="3" t="s">
        <v>111</v>
      </c>
      <c r="B33" s="19">
        <f>C4*C9</f>
        <v>0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s="5" customFormat="1">
      <c r="A34" s="3" t="s">
        <v>112</v>
      </c>
      <c r="B34" s="19">
        <f>B32-B33</f>
        <v>11250000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s="5" customFormat="1">
      <c r="A35" s="3" t="s">
        <v>113</v>
      </c>
      <c r="B35" s="19">
        <f>C13</f>
        <v>0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s="5" customFormat="1">
      <c r="A36" s="3" t="s">
        <v>114</v>
      </c>
      <c r="B36" s="19">
        <f>C5</f>
        <v>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s="5" customFormat="1">
      <c r="A37" s="3" t="s">
        <v>115</v>
      </c>
      <c r="B37" s="19">
        <f>C10</f>
        <v>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s="5" customFormat="1">
      <c r="A38" s="169" t="s">
        <v>116</v>
      </c>
      <c r="B38" s="164">
        <f>B34+B35+B36+B37</f>
        <v>11250000</v>
      </c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</row>
    <row r="39" spans="1:22" s="5" customForma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42"/>
      <c r="O39" s="42"/>
      <c r="P39" s="42"/>
      <c r="Q39" s="42"/>
      <c r="R39" s="42"/>
      <c r="S39" s="42"/>
      <c r="T39" s="42"/>
      <c r="U39" s="42"/>
      <c r="V39" s="42"/>
    </row>
    <row r="40" spans="1:22" s="5" customFormat="1">
      <c r="A40" s="3" t="s">
        <v>117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42"/>
      <c r="O40" s="42"/>
      <c r="P40" s="42"/>
      <c r="Q40" s="42"/>
      <c r="R40" s="42"/>
      <c r="S40" s="42"/>
      <c r="T40" s="42"/>
      <c r="U40" s="42"/>
      <c r="V40" s="42"/>
    </row>
    <row r="41" spans="1:22" s="5" customFormat="1">
      <c r="A41" s="3" t="s">
        <v>118</v>
      </c>
      <c r="B41" s="3"/>
      <c r="C41" s="19">
        <f>IF(C30=$C$6,$C$7,0)</f>
        <v>0</v>
      </c>
      <c r="D41" s="19">
        <f t="shared" ref="D41:V41" si="5">IF(D30=$C$6,$C$7,0)</f>
        <v>0</v>
      </c>
      <c r="E41" s="19">
        <f t="shared" si="5"/>
        <v>0</v>
      </c>
      <c r="F41" s="19">
        <f t="shared" si="5"/>
        <v>0</v>
      </c>
      <c r="G41" s="19">
        <f t="shared" si="5"/>
        <v>0</v>
      </c>
      <c r="H41" s="19">
        <f t="shared" si="5"/>
        <v>0</v>
      </c>
      <c r="I41" s="19">
        <f t="shared" si="5"/>
        <v>0</v>
      </c>
      <c r="J41" s="19">
        <f t="shared" si="5"/>
        <v>0</v>
      </c>
      <c r="K41" s="19">
        <f t="shared" si="5"/>
        <v>0</v>
      </c>
      <c r="L41" s="19">
        <f t="shared" si="5"/>
        <v>0</v>
      </c>
      <c r="M41" s="19">
        <f t="shared" si="5"/>
        <v>0</v>
      </c>
      <c r="N41" s="19">
        <f t="shared" si="5"/>
        <v>0</v>
      </c>
      <c r="O41" s="19">
        <f t="shared" si="5"/>
        <v>0</v>
      </c>
      <c r="P41" s="19">
        <f t="shared" si="5"/>
        <v>0</v>
      </c>
      <c r="Q41" s="19">
        <f t="shared" si="5"/>
        <v>0</v>
      </c>
      <c r="R41" s="19">
        <f t="shared" si="5"/>
        <v>0</v>
      </c>
      <c r="S41" s="19">
        <f t="shared" si="5"/>
        <v>0</v>
      </c>
      <c r="T41" s="19">
        <f t="shared" si="5"/>
        <v>0</v>
      </c>
      <c r="U41" s="19">
        <f t="shared" si="5"/>
        <v>0</v>
      </c>
      <c r="V41" s="19">
        <f t="shared" si="5"/>
        <v>0</v>
      </c>
    </row>
    <row r="42" spans="1:22" s="5" customFormat="1">
      <c r="A42" s="3" t="s">
        <v>119</v>
      </c>
      <c r="B42" s="3"/>
      <c r="C42" s="19">
        <f t="shared" ref="C42:V42" si="6">IF(C30=$C$6,($C$13+SUM($C$61:$V$61))*$C$15,0)</f>
        <v>0</v>
      </c>
      <c r="D42" s="19">
        <f t="shared" si="6"/>
        <v>0</v>
      </c>
      <c r="E42" s="19">
        <f t="shared" si="6"/>
        <v>0</v>
      </c>
      <c r="F42" s="19">
        <f t="shared" si="6"/>
        <v>0</v>
      </c>
      <c r="G42" s="19">
        <f t="shared" si="6"/>
        <v>0</v>
      </c>
      <c r="H42" s="19">
        <f t="shared" si="6"/>
        <v>0</v>
      </c>
      <c r="I42" s="19">
        <f t="shared" si="6"/>
        <v>0</v>
      </c>
      <c r="J42" s="19">
        <f t="shared" si="6"/>
        <v>0</v>
      </c>
      <c r="K42" s="19">
        <f t="shared" si="6"/>
        <v>0</v>
      </c>
      <c r="L42" s="19">
        <f t="shared" si="6"/>
        <v>0</v>
      </c>
      <c r="M42" s="19">
        <f t="shared" si="6"/>
        <v>0</v>
      </c>
      <c r="N42" s="19">
        <f t="shared" si="6"/>
        <v>0</v>
      </c>
      <c r="O42" s="19">
        <f t="shared" si="6"/>
        <v>0</v>
      </c>
      <c r="P42" s="19">
        <f t="shared" si="6"/>
        <v>0</v>
      </c>
      <c r="Q42" s="19">
        <f t="shared" si="6"/>
        <v>0</v>
      </c>
      <c r="R42" s="19">
        <f t="shared" si="6"/>
        <v>0</v>
      </c>
      <c r="S42" s="19">
        <f t="shared" si="6"/>
        <v>0</v>
      </c>
      <c r="T42" s="19">
        <f t="shared" si="6"/>
        <v>0</v>
      </c>
      <c r="U42" s="19">
        <f t="shared" si="6"/>
        <v>0</v>
      </c>
      <c r="V42" s="19">
        <f t="shared" si="6"/>
        <v>0</v>
      </c>
    </row>
    <row r="43" spans="1:22" s="5" customFormat="1" ht="13.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2"/>
      <c r="O43" s="42"/>
      <c r="P43" s="42"/>
      <c r="Q43" s="42"/>
      <c r="R43" s="42"/>
      <c r="S43" s="42"/>
      <c r="T43" s="42"/>
      <c r="U43" s="42"/>
      <c r="V43" s="42"/>
    </row>
    <row r="44" spans="1:22" s="5" customFormat="1">
      <c r="A44" s="20" t="s">
        <v>120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06"/>
      <c r="O44" s="106"/>
      <c r="P44" s="106"/>
      <c r="Q44" s="106"/>
      <c r="R44" s="106"/>
      <c r="S44" s="106"/>
      <c r="T44" s="106"/>
      <c r="U44" s="106"/>
      <c r="V44" s="107"/>
    </row>
    <row r="45" spans="1:22" s="5" customFormat="1">
      <c r="A45" s="23" t="s">
        <v>121</v>
      </c>
      <c r="B45" s="3"/>
      <c r="C45" s="3">
        <f>IF(C30&gt;$C$6,0,1)</f>
        <v>1</v>
      </c>
      <c r="D45" s="3">
        <f>IF(D30&gt;$C$6,0,1)</f>
        <v>1</v>
      </c>
      <c r="E45" s="3">
        <f t="shared" ref="E45:V45" si="7">IF(E30&gt;$C$6,0,1)</f>
        <v>1</v>
      </c>
      <c r="F45" s="3">
        <f t="shared" si="7"/>
        <v>1</v>
      </c>
      <c r="G45" s="3">
        <f t="shared" si="7"/>
        <v>1</v>
      </c>
      <c r="H45" s="3">
        <f t="shared" si="7"/>
        <v>1</v>
      </c>
      <c r="I45" s="3">
        <f t="shared" si="7"/>
        <v>1</v>
      </c>
      <c r="J45" s="3">
        <f t="shared" si="7"/>
        <v>1</v>
      </c>
      <c r="K45" s="3">
        <f t="shared" si="7"/>
        <v>1</v>
      </c>
      <c r="L45" s="3">
        <f t="shared" si="7"/>
        <v>1</v>
      </c>
      <c r="M45" s="3">
        <f t="shared" si="7"/>
        <v>1</v>
      </c>
      <c r="N45" s="3">
        <f t="shared" si="7"/>
        <v>1</v>
      </c>
      <c r="O45" s="3">
        <f t="shared" si="7"/>
        <v>1</v>
      </c>
      <c r="P45" s="3">
        <f t="shared" si="7"/>
        <v>1</v>
      </c>
      <c r="Q45" s="3">
        <f t="shared" si="7"/>
        <v>1</v>
      </c>
      <c r="R45" s="3">
        <f t="shared" si="7"/>
        <v>0</v>
      </c>
      <c r="S45" s="3">
        <f t="shared" si="7"/>
        <v>0</v>
      </c>
      <c r="T45" s="3">
        <f t="shared" si="7"/>
        <v>0</v>
      </c>
      <c r="U45" s="3">
        <f t="shared" si="7"/>
        <v>0</v>
      </c>
      <c r="V45" s="24">
        <f t="shared" si="7"/>
        <v>0</v>
      </c>
    </row>
    <row r="46" spans="1:22" s="5" customFormat="1">
      <c r="A46" s="159" t="s">
        <v>98</v>
      </c>
      <c r="B46" s="160"/>
      <c r="C46" s="161">
        <f t="shared" ref="C46:V46" si="8">SUM(C47:C50)</f>
        <v>1180119.3548771758</v>
      </c>
      <c r="D46" s="161">
        <f t="shared" si="8"/>
        <v>1330119.3548771748</v>
      </c>
      <c r="E46" s="161">
        <f t="shared" si="8"/>
        <v>1483869.3548771739</v>
      </c>
      <c r="F46" s="161">
        <f t="shared" si="8"/>
        <v>1641463.104877173</v>
      </c>
      <c r="G46" s="161">
        <f t="shared" si="8"/>
        <v>1802996.698627172</v>
      </c>
      <c r="H46" s="161">
        <f t="shared" si="8"/>
        <v>1968568.6322209211</v>
      </c>
      <c r="I46" s="161">
        <f t="shared" si="8"/>
        <v>2138279.8641545139</v>
      </c>
      <c r="J46" s="161">
        <f t="shared" si="8"/>
        <v>2312233.876886447</v>
      </c>
      <c r="K46" s="161">
        <f t="shared" si="8"/>
        <v>2490536.7399366777</v>
      </c>
      <c r="L46" s="161">
        <f t="shared" si="8"/>
        <v>2673297.1745631648</v>
      </c>
      <c r="M46" s="161">
        <f t="shared" si="8"/>
        <v>2860626.6200553142</v>
      </c>
      <c r="N46" s="161">
        <f t="shared" si="8"/>
        <v>3052639.301684767</v>
      </c>
      <c r="O46" s="161">
        <f t="shared" si="8"/>
        <v>3249452.3003549557</v>
      </c>
      <c r="P46" s="161">
        <f t="shared" si="8"/>
        <v>3451185.6239918992</v>
      </c>
      <c r="Q46" s="161">
        <f t="shared" si="8"/>
        <v>3657962.2807197664</v>
      </c>
      <c r="R46" s="161">
        <f t="shared" si="8"/>
        <v>0</v>
      </c>
      <c r="S46" s="161">
        <f t="shared" si="8"/>
        <v>0</v>
      </c>
      <c r="T46" s="161">
        <f t="shared" si="8"/>
        <v>0</v>
      </c>
      <c r="U46" s="161">
        <f t="shared" si="8"/>
        <v>0</v>
      </c>
      <c r="V46" s="170">
        <f t="shared" si="8"/>
        <v>0</v>
      </c>
    </row>
    <row r="47" spans="1:22" s="5" customFormat="1">
      <c r="A47" s="158" t="s">
        <v>100</v>
      </c>
      <c r="B47" s="19"/>
      <c r="C47" s="180">
        <f>Sheet1!M36</f>
        <v>6000000</v>
      </c>
      <c r="D47" s="162">
        <f t="shared" ref="D47:V47" si="9">C47*(1+D20)*D$45</f>
        <v>6149999.9999999991</v>
      </c>
      <c r="E47" s="162">
        <f t="shared" si="9"/>
        <v>6303749.9999999981</v>
      </c>
      <c r="F47" s="162">
        <f t="shared" si="9"/>
        <v>6461343.7499999972</v>
      </c>
      <c r="G47" s="162">
        <f t="shared" si="9"/>
        <v>6622877.3437499963</v>
      </c>
      <c r="H47" s="162">
        <f t="shared" si="9"/>
        <v>6788449.2773437453</v>
      </c>
      <c r="I47" s="162">
        <f t="shared" si="9"/>
        <v>6958160.5092773382</v>
      </c>
      <c r="J47" s="162">
        <f t="shared" si="9"/>
        <v>7132114.5220092712</v>
      </c>
      <c r="K47" s="162">
        <f t="shared" si="9"/>
        <v>7310417.385059502</v>
      </c>
      <c r="L47" s="162">
        <f t="shared" si="9"/>
        <v>7493177.8196859891</v>
      </c>
      <c r="M47" s="162">
        <f t="shared" si="9"/>
        <v>7680507.2651781384</v>
      </c>
      <c r="N47" s="162">
        <f t="shared" si="9"/>
        <v>7872519.9468075912</v>
      </c>
      <c r="O47" s="162">
        <f t="shared" si="9"/>
        <v>8069332.94547778</v>
      </c>
      <c r="P47" s="162">
        <f t="shared" si="9"/>
        <v>8271066.2691147234</v>
      </c>
      <c r="Q47" s="162">
        <f t="shared" si="9"/>
        <v>8477842.9258425906</v>
      </c>
      <c r="R47" s="162">
        <f t="shared" si="9"/>
        <v>0</v>
      </c>
      <c r="S47" s="162">
        <f t="shared" si="9"/>
        <v>0</v>
      </c>
      <c r="T47" s="162">
        <f t="shared" si="9"/>
        <v>0</v>
      </c>
      <c r="U47" s="162">
        <f t="shared" si="9"/>
        <v>0</v>
      </c>
      <c r="V47" s="171">
        <f t="shared" si="9"/>
        <v>0</v>
      </c>
    </row>
    <row r="48" spans="1:22" s="5" customFormat="1">
      <c r="A48" s="158" t="s">
        <v>122</v>
      </c>
      <c r="B48" s="19"/>
      <c r="C48" s="180">
        <f>SUM(Sheet1!M37:M39)</f>
        <v>55740.000000000029</v>
      </c>
      <c r="D48" s="162">
        <f t="shared" ref="D48:V48" si="10">C48*(1+D21)*D$45</f>
        <v>55740.000000000029</v>
      </c>
      <c r="E48" s="162">
        <f t="shared" si="10"/>
        <v>55740.000000000029</v>
      </c>
      <c r="F48" s="162">
        <f t="shared" si="10"/>
        <v>55740.000000000029</v>
      </c>
      <c r="G48" s="162">
        <f t="shared" si="10"/>
        <v>55740.000000000029</v>
      </c>
      <c r="H48" s="162">
        <f t="shared" si="10"/>
        <v>55740.000000000029</v>
      </c>
      <c r="I48" s="162">
        <f t="shared" si="10"/>
        <v>55740.000000000029</v>
      </c>
      <c r="J48" s="162">
        <f t="shared" si="10"/>
        <v>55740.000000000029</v>
      </c>
      <c r="K48" s="162">
        <f t="shared" si="10"/>
        <v>55740.000000000029</v>
      </c>
      <c r="L48" s="162">
        <f t="shared" si="10"/>
        <v>55740.000000000029</v>
      </c>
      <c r="M48" s="162">
        <f t="shared" si="10"/>
        <v>55740.000000000029</v>
      </c>
      <c r="N48" s="162">
        <f t="shared" si="10"/>
        <v>55740.000000000029</v>
      </c>
      <c r="O48" s="162">
        <f t="shared" si="10"/>
        <v>55740.000000000029</v>
      </c>
      <c r="P48" s="162">
        <f t="shared" si="10"/>
        <v>55740.000000000029</v>
      </c>
      <c r="Q48" s="162">
        <f t="shared" si="10"/>
        <v>55740.000000000029</v>
      </c>
      <c r="R48" s="162">
        <f t="shared" si="10"/>
        <v>0</v>
      </c>
      <c r="S48" s="162">
        <f t="shared" si="10"/>
        <v>0</v>
      </c>
      <c r="T48" s="162">
        <f t="shared" si="10"/>
        <v>0</v>
      </c>
      <c r="U48" s="162">
        <f t="shared" si="10"/>
        <v>0</v>
      </c>
      <c r="V48" s="171">
        <f t="shared" si="10"/>
        <v>0</v>
      </c>
    </row>
    <row r="49" spans="1:22" s="5" customFormat="1">
      <c r="A49" s="158" t="s">
        <v>102</v>
      </c>
      <c r="B49" s="19"/>
      <c r="C49" s="180">
        <f>SUM(Sheet1!M40:M41)</f>
        <v>-4875620.6451228242</v>
      </c>
      <c r="D49" s="162">
        <f t="shared" ref="D49:V49" si="11">C49*(1+D22)*D$45</f>
        <v>-4875620.6451228242</v>
      </c>
      <c r="E49" s="162">
        <f t="shared" si="11"/>
        <v>-4875620.6451228242</v>
      </c>
      <c r="F49" s="162">
        <f t="shared" si="11"/>
        <v>-4875620.6451228242</v>
      </c>
      <c r="G49" s="162">
        <f t="shared" si="11"/>
        <v>-4875620.6451228242</v>
      </c>
      <c r="H49" s="162">
        <f t="shared" si="11"/>
        <v>-4875620.6451228242</v>
      </c>
      <c r="I49" s="162">
        <f t="shared" si="11"/>
        <v>-4875620.6451228242</v>
      </c>
      <c r="J49" s="162">
        <f t="shared" si="11"/>
        <v>-4875620.6451228242</v>
      </c>
      <c r="K49" s="162">
        <f t="shared" si="11"/>
        <v>-4875620.6451228242</v>
      </c>
      <c r="L49" s="162">
        <f t="shared" si="11"/>
        <v>-4875620.6451228242</v>
      </c>
      <c r="M49" s="162">
        <f t="shared" si="11"/>
        <v>-4875620.6451228242</v>
      </c>
      <c r="N49" s="162">
        <f t="shared" si="11"/>
        <v>-4875620.6451228242</v>
      </c>
      <c r="O49" s="162">
        <f t="shared" si="11"/>
        <v>-4875620.6451228242</v>
      </c>
      <c r="P49" s="162">
        <f t="shared" si="11"/>
        <v>-4875620.6451228242</v>
      </c>
      <c r="Q49" s="162">
        <f t="shared" si="11"/>
        <v>-4875620.6451228242</v>
      </c>
      <c r="R49" s="162">
        <f t="shared" si="11"/>
        <v>0</v>
      </c>
      <c r="S49" s="162">
        <f t="shared" si="11"/>
        <v>0</v>
      </c>
      <c r="T49" s="162">
        <f t="shared" si="11"/>
        <v>0</v>
      </c>
      <c r="U49" s="162">
        <f t="shared" si="11"/>
        <v>0</v>
      </c>
      <c r="V49" s="171">
        <f t="shared" si="11"/>
        <v>0</v>
      </c>
    </row>
    <row r="50" spans="1:22" s="5" customFormat="1">
      <c r="A50" s="158" t="s">
        <v>103</v>
      </c>
      <c r="B50" s="19"/>
      <c r="C50" s="180">
        <v>0</v>
      </c>
      <c r="D50" s="162">
        <f t="shared" ref="D50:V50" si="12">C50*(1+D23)*D$45</f>
        <v>0</v>
      </c>
      <c r="E50" s="162">
        <f t="shared" si="12"/>
        <v>0</v>
      </c>
      <c r="F50" s="162">
        <f t="shared" si="12"/>
        <v>0</v>
      </c>
      <c r="G50" s="162">
        <f t="shared" si="12"/>
        <v>0</v>
      </c>
      <c r="H50" s="162">
        <f t="shared" si="12"/>
        <v>0</v>
      </c>
      <c r="I50" s="162">
        <f t="shared" si="12"/>
        <v>0</v>
      </c>
      <c r="J50" s="162">
        <f t="shared" si="12"/>
        <v>0</v>
      </c>
      <c r="K50" s="162">
        <f t="shared" si="12"/>
        <v>0</v>
      </c>
      <c r="L50" s="162">
        <f t="shared" si="12"/>
        <v>0</v>
      </c>
      <c r="M50" s="162">
        <f t="shared" si="12"/>
        <v>0</v>
      </c>
      <c r="N50" s="162">
        <f t="shared" si="12"/>
        <v>0</v>
      </c>
      <c r="O50" s="162">
        <f t="shared" si="12"/>
        <v>0</v>
      </c>
      <c r="P50" s="162">
        <f t="shared" si="12"/>
        <v>0</v>
      </c>
      <c r="Q50" s="162">
        <f t="shared" si="12"/>
        <v>0</v>
      </c>
      <c r="R50" s="162">
        <f t="shared" si="12"/>
        <v>0</v>
      </c>
      <c r="S50" s="162">
        <f t="shared" si="12"/>
        <v>0</v>
      </c>
      <c r="T50" s="162">
        <f t="shared" si="12"/>
        <v>0</v>
      </c>
      <c r="U50" s="162">
        <f t="shared" si="12"/>
        <v>0</v>
      </c>
      <c r="V50" s="171">
        <f t="shared" si="12"/>
        <v>0</v>
      </c>
    </row>
    <row r="51" spans="1:22" s="5" customFormat="1">
      <c r="A51" s="159" t="s">
        <v>104</v>
      </c>
      <c r="B51" s="160"/>
      <c r="C51" s="161">
        <f>SUM(C52:C54)</f>
        <v>2250000</v>
      </c>
      <c r="D51" s="161">
        <f>SUM(D52:D54)</f>
        <v>2306250</v>
      </c>
      <c r="E51" s="161">
        <f t="shared" ref="E51:V51" si="13">SUM(E52:E54)</f>
        <v>2363906.25</v>
      </c>
      <c r="F51" s="161">
        <f t="shared" si="13"/>
        <v>2423003.90625</v>
      </c>
      <c r="G51" s="161">
        <f t="shared" si="13"/>
        <v>2483579.00390625</v>
      </c>
      <c r="H51" s="161">
        <f t="shared" si="13"/>
        <v>2545668.4790039063</v>
      </c>
      <c r="I51" s="161">
        <f t="shared" si="13"/>
        <v>2609310.1909790039</v>
      </c>
      <c r="J51" s="161">
        <f t="shared" si="13"/>
        <v>2674542.9457534789</v>
      </c>
      <c r="K51" s="161">
        <f t="shared" si="13"/>
        <v>2741406.5193973156</v>
      </c>
      <c r="L51" s="161">
        <f t="shared" si="13"/>
        <v>2809941.6823822483</v>
      </c>
      <c r="M51" s="161">
        <f>SUM(M52:M54)</f>
        <v>2880190.2244418045</v>
      </c>
      <c r="N51" s="161">
        <f t="shared" si="13"/>
        <v>2952194.9800528493</v>
      </c>
      <c r="O51" s="161">
        <f t="shared" si="13"/>
        <v>3025999.8545541703</v>
      </c>
      <c r="P51" s="161">
        <f t="shared" si="13"/>
        <v>3101649.8509180243</v>
      </c>
      <c r="Q51" s="161">
        <f t="shared" si="13"/>
        <v>3179191.0971909747</v>
      </c>
      <c r="R51" s="161">
        <f t="shared" si="13"/>
        <v>0</v>
      </c>
      <c r="S51" s="161">
        <f t="shared" si="13"/>
        <v>0</v>
      </c>
      <c r="T51" s="161">
        <f t="shared" si="13"/>
        <v>0</v>
      </c>
      <c r="U51" s="161">
        <f t="shared" si="13"/>
        <v>0</v>
      </c>
      <c r="V51" s="170">
        <f t="shared" si="13"/>
        <v>0</v>
      </c>
    </row>
    <row r="52" spans="1:22" s="5" customFormat="1">
      <c r="A52" s="158" t="s">
        <v>105</v>
      </c>
      <c r="B52" s="19"/>
      <c r="C52" s="180">
        <f>-Sheet1!M45</f>
        <v>2250000</v>
      </c>
      <c r="D52" s="162">
        <f t="shared" ref="D52:V52" si="14">C52*(1+D25)*D$45</f>
        <v>2306250</v>
      </c>
      <c r="E52" s="162">
        <f t="shared" si="14"/>
        <v>2363906.25</v>
      </c>
      <c r="F52" s="162">
        <f t="shared" si="14"/>
        <v>2423003.90625</v>
      </c>
      <c r="G52" s="162">
        <f t="shared" si="14"/>
        <v>2483579.00390625</v>
      </c>
      <c r="H52" s="162">
        <f t="shared" si="14"/>
        <v>2545668.4790039063</v>
      </c>
      <c r="I52" s="162">
        <f t="shared" si="14"/>
        <v>2609310.1909790039</v>
      </c>
      <c r="J52" s="162">
        <f t="shared" si="14"/>
        <v>2674542.9457534789</v>
      </c>
      <c r="K52" s="162">
        <f t="shared" si="14"/>
        <v>2741406.5193973156</v>
      </c>
      <c r="L52" s="162">
        <f t="shared" si="14"/>
        <v>2809941.6823822483</v>
      </c>
      <c r="M52" s="162">
        <f t="shared" si="14"/>
        <v>2880190.2244418045</v>
      </c>
      <c r="N52" s="162">
        <f t="shared" si="14"/>
        <v>2952194.9800528493</v>
      </c>
      <c r="O52" s="162">
        <f t="shared" si="14"/>
        <v>3025999.8545541703</v>
      </c>
      <c r="P52" s="162">
        <f t="shared" si="14"/>
        <v>3101649.8509180243</v>
      </c>
      <c r="Q52" s="162">
        <f t="shared" si="14"/>
        <v>3179191.0971909747</v>
      </c>
      <c r="R52" s="162">
        <f t="shared" si="14"/>
        <v>0</v>
      </c>
      <c r="S52" s="162">
        <f t="shared" si="14"/>
        <v>0</v>
      </c>
      <c r="T52" s="162">
        <f t="shared" si="14"/>
        <v>0</v>
      </c>
      <c r="U52" s="162">
        <f t="shared" si="14"/>
        <v>0</v>
      </c>
      <c r="V52" s="171">
        <f t="shared" si="14"/>
        <v>0</v>
      </c>
    </row>
    <row r="53" spans="1:22" s="5" customFormat="1">
      <c r="A53" s="183" t="s">
        <v>106</v>
      </c>
      <c r="B53" s="19"/>
      <c r="C53" s="180">
        <v>0</v>
      </c>
      <c r="D53" s="162">
        <f t="shared" ref="D53:V53" si="15">C53*(1+D26)*D$45</f>
        <v>0</v>
      </c>
      <c r="E53" s="162">
        <f t="shared" si="15"/>
        <v>0</v>
      </c>
      <c r="F53" s="162">
        <f t="shared" si="15"/>
        <v>0</v>
      </c>
      <c r="G53" s="162">
        <f t="shared" si="15"/>
        <v>0</v>
      </c>
      <c r="H53" s="162">
        <f t="shared" si="15"/>
        <v>0</v>
      </c>
      <c r="I53" s="162">
        <f t="shared" si="15"/>
        <v>0</v>
      </c>
      <c r="J53" s="162">
        <f t="shared" si="15"/>
        <v>0</v>
      </c>
      <c r="K53" s="162">
        <f t="shared" si="15"/>
        <v>0</v>
      </c>
      <c r="L53" s="162">
        <f t="shared" si="15"/>
        <v>0</v>
      </c>
      <c r="M53" s="162">
        <f t="shared" si="15"/>
        <v>0</v>
      </c>
      <c r="N53" s="162">
        <f t="shared" si="15"/>
        <v>0</v>
      </c>
      <c r="O53" s="162">
        <f t="shared" si="15"/>
        <v>0</v>
      </c>
      <c r="P53" s="162">
        <f t="shared" si="15"/>
        <v>0</v>
      </c>
      <c r="Q53" s="162">
        <f t="shared" si="15"/>
        <v>0</v>
      </c>
      <c r="R53" s="162">
        <f t="shared" si="15"/>
        <v>0</v>
      </c>
      <c r="S53" s="162">
        <f t="shared" si="15"/>
        <v>0</v>
      </c>
      <c r="T53" s="162">
        <f t="shared" si="15"/>
        <v>0</v>
      </c>
      <c r="U53" s="162">
        <f t="shared" si="15"/>
        <v>0</v>
      </c>
      <c r="V53" s="171">
        <f t="shared" si="15"/>
        <v>0</v>
      </c>
    </row>
    <row r="54" spans="1:22" s="5" customFormat="1">
      <c r="A54" s="163" t="s">
        <v>107</v>
      </c>
      <c r="B54" s="164"/>
      <c r="C54" s="181">
        <v>0</v>
      </c>
      <c r="D54" s="162">
        <f t="shared" ref="D54:V54" si="16">C54*(1+D27)*D$45</f>
        <v>0</v>
      </c>
      <c r="E54" s="162">
        <f t="shared" si="16"/>
        <v>0</v>
      </c>
      <c r="F54" s="162">
        <f t="shared" si="16"/>
        <v>0</v>
      </c>
      <c r="G54" s="162">
        <f t="shared" si="16"/>
        <v>0</v>
      </c>
      <c r="H54" s="162">
        <f t="shared" si="16"/>
        <v>0</v>
      </c>
      <c r="I54" s="162">
        <f t="shared" si="16"/>
        <v>0</v>
      </c>
      <c r="J54" s="162">
        <f t="shared" si="16"/>
        <v>0</v>
      </c>
      <c r="K54" s="162">
        <f t="shared" si="16"/>
        <v>0</v>
      </c>
      <c r="L54" s="162">
        <f t="shared" si="16"/>
        <v>0</v>
      </c>
      <c r="M54" s="162">
        <f t="shared" si="16"/>
        <v>0</v>
      </c>
      <c r="N54" s="162">
        <f t="shared" si="16"/>
        <v>0</v>
      </c>
      <c r="O54" s="162">
        <f t="shared" si="16"/>
        <v>0</v>
      </c>
      <c r="P54" s="162">
        <f t="shared" si="16"/>
        <v>0</v>
      </c>
      <c r="Q54" s="162">
        <f t="shared" si="16"/>
        <v>0</v>
      </c>
      <c r="R54" s="162">
        <f t="shared" si="16"/>
        <v>0</v>
      </c>
      <c r="S54" s="162">
        <f t="shared" si="16"/>
        <v>0</v>
      </c>
      <c r="T54" s="162">
        <f t="shared" si="16"/>
        <v>0</v>
      </c>
      <c r="U54" s="162">
        <f t="shared" si="16"/>
        <v>0</v>
      </c>
      <c r="V54" s="171">
        <f t="shared" si="16"/>
        <v>0</v>
      </c>
    </row>
    <row r="55" spans="1:22" s="5" customFormat="1">
      <c r="A55" s="159" t="s">
        <v>123</v>
      </c>
      <c r="B55" s="161"/>
      <c r="C55" s="161">
        <f t="shared" ref="C55:V55" si="17">C46-C51</f>
        <v>-1069880.6451228242</v>
      </c>
      <c r="D55" s="161">
        <f t="shared" si="17"/>
        <v>-976130.64512282517</v>
      </c>
      <c r="E55" s="161">
        <f t="shared" si="17"/>
        <v>-880036.8951228261</v>
      </c>
      <c r="F55" s="161">
        <f t="shared" si="17"/>
        <v>-781540.80137282703</v>
      </c>
      <c r="G55" s="161">
        <f t="shared" si="17"/>
        <v>-680582.30527907796</v>
      </c>
      <c r="H55" s="161">
        <f t="shared" si="17"/>
        <v>-577099.84678298514</v>
      </c>
      <c r="I55" s="161">
        <f t="shared" si="17"/>
        <v>-471030.32682448998</v>
      </c>
      <c r="J55" s="161">
        <f t="shared" si="17"/>
        <v>-362309.06886703195</v>
      </c>
      <c r="K55" s="161">
        <f t="shared" si="17"/>
        <v>-250869.77946063783</v>
      </c>
      <c r="L55" s="161">
        <f t="shared" si="17"/>
        <v>-136644.50781908352</v>
      </c>
      <c r="M55" s="161">
        <f t="shared" si="17"/>
        <v>-19563.604386490304</v>
      </c>
      <c r="N55" s="161">
        <f t="shared" si="17"/>
        <v>100444.32163191773</v>
      </c>
      <c r="O55" s="161">
        <f t="shared" si="17"/>
        <v>223452.44580078544</v>
      </c>
      <c r="P55" s="161">
        <f t="shared" si="17"/>
        <v>349535.77307387488</v>
      </c>
      <c r="Q55" s="161">
        <f t="shared" si="17"/>
        <v>478771.18352879165</v>
      </c>
      <c r="R55" s="161">
        <f t="shared" si="17"/>
        <v>0</v>
      </c>
      <c r="S55" s="161">
        <f t="shared" si="17"/>
        <v>0</v>
      </c>
      <c r="T55" s="161">
        <f t="shared" si="17"/>
        <v>0</v>
      </c>
      <c r="U55" s="161">
        <f t="shared" si="17"/>
        <v>0</v>
      </c>
      <c r="V55" s="170">
        <f t="shared" si="17"/>
        <v>0</v>
      </c>
    </row>
    <row r="56" spans="1:22" s="5" customFormat="1">
      <c r="A56" s="166" t="s">
        <v>124</v>
      </c>
      <c r="B56" s="165"/>
      <c r="C56" s="165">
        <f>C76</f>
        <v>750000</v>
      </c>
      <c r="D56" s="165">
        <f t="shared" ref="D56:V56" si="18">D76</f>
        <v>750000</v>
      </c>
      <c r="E56" s="165">
        <f t="shared" si="18"/>
        <v>750000</v>
      </c>
      <c r="F56" s="165">
        <f t="shared" si="18"/>
        <v>750000</v>
      </c>
      <c r="G56" s="165">
        <f t="shared" si="18"/>
        <v>750000</v>
      </c>
      <c r="H56" s="165">
        <f t="shared" si="18"/>
        <v>750000</v>
      </c>
      <c r="I56" s="165">
        <f t="shared" si="18"/>
        <v>750000</v>
      </c>
      <c r="J56" s="165">
        <f t="shared" si="18"/>
        <v>750000</v>
      </c>
      <c r="K56" s="165">
        <f t="shared" si="18"/>
        <v>750000</v>
      </c>
      <c r="L56" s="165">
        <f t="shared" si="18"/>
        <v>750000</v>
      </c>
      <c r="M56" s="165">
        <f t="shared" si="18"/>
        <v>750000</v>
      </c>
      <c r="N56" s="165">
        <f t="shared" si="18"/>
        <v>750000</v>
      </c>
      <c r="O56" s="165">
        <f t="shared" si="18"/>
        <v>750000</v>
      </c>
      <c r="P56" s="165">
        <f t="shared" si="18"/>
        <v>750000</v>
      </c>
      <c r="Q56" s="165">
        <f t="shared" si="18"/>
        <v>750000</v>
      </c>
      <c r="R56" s="165">
        <f t="shared" si="18"/>
        <v>0</v>
      </c>
      <c r="S56" s="165">
        <f t="shared" si="18"/>
        <v>0</v>
      </c>
      <c r="T56" s="165">
        <f t="shared" si="18"/>
        <v>0</v>
      </c>
      <c r="U56" s="165">
        <f t="shared" si="18"/>
        <v>0</v>
      </c>
      <c r="V56" s="172">
        <f t="shared" si="18"/>
        <v>0</v>
      </c>
    </row>
    <row r="57" spans="1:22" s="5" customFormat="1">
      <c r="A57" s="159" t="s">
        <v>125</v>
      </c>
      <c r="B57" s="161"/>
      <c r="C57" s="161">
        <f>C55-C56</f>
        <v>-1819880.6451228242</v>
      </c>
      <c r="D57" s="161">
        <f t="shared" ref="D57:V57" si="19">D55-D56</f>
        <v>-1726130.6451228252</v>
      </c>
      <c r="E57" s="161">
        <f t="shared" si="19"/>
        <v>-1630036.8951228261</v>
      </c>
      <c r="F57" s="161">
        <f t="shared" si="19"/>
        <v>-1531540.801372827</v>
      </c>
      <c r="G57" s="161">
        <f t="shared" si="19"/>
        <v>-1430582.305279078</v>
      </c>
      <c r="H57" s="161">
        <f t="shared" si="19"/>
        <v>-1327099.8467829851</v>
      </c>
      <c r="I57" s="161">
        <f t="shared" si="19"/>
        <v>-1221030.32682449</v>
      </c>
      <c r="J57" s="161">
        <f t="shared" si="19"/>
        <v>-1112309.068867032</v>
      </c>
      <c r="K57" s="161">
        <f t="shared" si="19"/>
        <v>-1000869.7794606378</v>
      </c>
      <c r="L57" s="161">
        <f t="shared" si="19"/>
        <v>-886644.50781908352</v>
      </c>
      <c r="M57" s="161">
        <f t="shared" si="19"/>
        <v>-769563.6043864903</v>
      </c>
      <c r="N57" s="161">
        <f t="shared" si="19"/>
        <v>-649555.67836808227</v>
      </c>
      <c r="O57" s="161">
        <f t="shared" si="19"/>
        <v>-526547.55419921456</v>
      </c>
      <c r="P57" s="161">
        <f t="shared" si="19"/>
        <v>-400464.22692612512</v>
      </c>
      <c r="Q57" s="161">
        <f t="shared" si="19"/>
        <v>-271228.81647120835</v>
      </c>
      <c r="R57" s="161">
        <f t="shared" si="19"/>
        <v>0</v>
      </c>
      <c r="S57" s="161">
        <f t="shared" si="19"/>
        <v>0</v>
      </c>
      <c r="T57" s="161">
        <f t="shared" si="19"/>
        <v>0</v>
      </c>
      <c r="U57" s="161">
        <f t="shared" si="19"/>
        <v>0</v>
      </c>
      <c r="V57" s="170">
        <f t="shared" si="19"/>
        <v>0</v>
      </c>
    </row>
    <row r="58" spans="1:22" s="5" customFormat="1">
      <c r="A58" s="166" t="s">
        <v>126</v>
      </c>
      <c r="B58" s="165"/>
      <c r="C58" s="165">
        <f>C57*$G$4</f>
        <v>-545964.19353684725</v>
      </c>
      <c r="D58" s="165">
        <f t="shared" ref="D58:V58" si="20">D57*$G$4</f>
        <v>-517839.19353684754</v>
      </c>
      <c r="E58" s="165">
        <f t="shared" si="20"/>
        <v>-489011.06853684783</v>
      </c>
      <c r="F58" s="165">
        <f t="shared" si="20"/>
        <v>-459462.24041184812</v>
      </c>
      <c r="G58" s="165">
        <f t="shared" si="20"/>
        <v>-429174.69158372335</v>
      </c>
      <c r="H58" s="165">
        <f t="shared" si="20"/>
        <v>-398129.95403489552</v>
      </c>
      <c r="I58" s="165">
        <f t="shared" si="20"/>
        <v>-366309.09804734698</v>
      </c>
      <c r="J58" s="165">
        <f t="shared" si="20"/>
        <v>-333692.7206601096</v>
      </c>
      <c r="K58" s="165">
        <f t="shared" si="20"/>
        <v>-300260.93383819133</v>
      </c>
      <c r="L58" s="165">
        <f t="shared" si="20"/>
        <v>-265993.35234572506</v>
      </c>
      <c r="M58" s="165">
        <f t="shared" si="20"/>
        <v>-230869.08131594709</v>
      </c>
      <c r="N58" s="165">
        <f t="shared" si="20"/>
        <v>-194866.70351042468</v>
      </c>
      <c r="O58" s="165">
        <f t="shared" si="20"/>
        <v>-157964.26625976435</v>
      </c>
      <c r="P58" s="165">
        <f t="shared" si="20"/>
        <v>-120139.26807783754</v>
      </c>
      <c r="Q58" s="165">
        <f t="shared" si="20"/>
        <v>-81368.644941362509</v>
      </c>
      <c r="R58" s="165">
        <f t="shared" si="20"/>
        <v>0</v>
      </c>
      <c r="S58" s="165">
        <f t="shared" si="20"/>
        <v>0</v>
      </c>
      <c r="T58" s="165">
        <f t="shared" si="20"/>
        <v>0</v>
      </c>
      <c r="U58" s="165">
        <f t="shared" si="20"/>
        <v>0</v>
      </c>
      <c r="V58" s="172">
        <f t="shared" si="20"/>
        <v>0</v>
      </c>
    </row>
    <row r="59" spans="1:22" s="5" customFormat="1">
      <c r="A59" s="159" t="s">
        <v>127</v>
      </c>
      <c r="B59" s="161"/>
      <c r="C59" s="161">
        <f t="shared" ref="C59:V59" si="21">C57-C58</f>
        <v>-1273916.4515859769</v>
      </c>
      <c r="D59" s="161">
        <f t="shared" si="21"/>
        <v>-1208291.4515859776</v>
      </c>
      <c r="E59" s="161">
        <f t="shared" si="21"/>
        <v>-1141025.8265859783</v>
      </c>
      <c r="F59" s="161">
        <f t="shared" si="21"/>
        <v>-1072078.560960979</v>
      </c>
      <c r="G59" s="161">
        <f t="shared" si="21"/>
        <v>-1001407.6136953547</v>
      </c>
      <c r="H59" s="161">
        <f t="shared" si="21"/>
        <v>-928969.89274808962</v>
      </c>
      <c r="I59" s="161">
        <f t="shared" si="21"/>
        <v>-854721.22877714294</v>
      </c>
      <c r="J59" s="161">
        <f t="shared" si="21"/>
        <v>-778616.34820692241</v>
      </c>
      <c r="K59" s="161">
        <f t="shared" si="21"/>
        <v>-700608.8456224465</v>
      </c>
      <c r="L59" s="161">
        <f t="shared" si="21"/>
        <v>-620651.15547335846</v>
      </c>
      <c r="M59" s="161">
        <f t="shared" si="21"/>
        <v>-538694.52307054319</v>
      </c>
      <c r="N59" s="161">
        <f t="shared" si="21"/>
        <v>-454688.97485765757</v>
      </c>
      <c r="O59" s="161">
        <f t="shared" si="21"/>
        <v>-368583.28793945024</v>
      </c>
      <c r="P59" s="161">
        <f t="shared" si="21"/>
        <v>-280324.95884828758</v>
      </c>
      <c r="Q59" s="161">
        <f t="shared" si="21"/>
        <v>-189860.17152984586</v>
      </c>
      <c r="R59" s="161">
        <f t="shared" si="21"/>
        <v>0</v>
      </c>
      <c r="S59" s="161">
        <f t="shared" si="21"/>
        <v>0</v>
      </c>
      <c r="T59" s="161">
        <f t="shared" si="21"/>
        <v>0</v>
      </c>
      <c r="U59" s="161">
        <f t="shared" si="21"/>
        <v>0</v>
      </c>
      <c r="V59" s="170">
        <f t="shared" si="21"/>
        <v>0</v>
      </c>
    </row>
    <row r="60" spans="1:22" s="5" customFormat="1">
      <c r="A60" s="23" t="s">
        <v>128</v>
      </c>
      <c r="B60" s="162"/>
      <c r="C60" s="162">
        <f>C56</f>
        <v>750000</v>
      </c>
      <c r="D60" s="162">
        <f t="shared" ref="D60:V60" si="22">D56</f>
        <v>750000</v>
      </c>
      <c r="E60" s="162">
        <f t="shared" si="22"/>
        <v>750000</v>
      </c>
      <c r="F60" s="162">
        <f t="shared" si="22"/>
        <v>750000</v>
      </c>
      <c r="G60" s="162">
        <f t="shared" si="22"/>
        <v>750000</v>
      </c>
      <c r="H60" s="162">
        <f t="shared" si="22"/>
        <v>750000</v>
      </c>
      <c r="I60" s="162">
        <f t="shared" si="22"/>
        <v>750000</v>
      </c>
      <c r="J60" s="162">
        <f t="shared" si="22"/>
        <v>750000</v>
      </c>
      <c r="K60" s="162">
        <f t="shared" si="22"/>
        <v>750000</v>
      </c>
      <c r="L60" s="162">
        <f t="shared" si="22"/>
        <v>750000</v>
      </c>
      <c r="M60" s="162">
        <f t="shared" si="22"/>
        <v>750000</v>
      </c>
      <c r="N60" s="162">
        <f t="shared" si="22"/>
        <v>750000</v>
      </c>
      <c r="O60" s="162">
        <f t="shared" si="22"/>
        <v>750000</v>
      </c>
      <c r="P60" s="162">
        <f t="shared" si="22"/>
        <v>750000</v>
      </c>
      <c r="Q60" s="162">
        <f t="shared" si="22"/>
        <v>750000</v>
      </c>
      <c r="R60" s="162">
        <f t="shared" si="22"/>
        <v>0</v>
      </c>
      <c r="S60" s="162">
        <f t="shared" si="22"/>
        <v>0</v>
      </c>
      <c r="T60" s="162">
        <f t="shared" si="22"/>
        <v>0</v>
      </c>
      <c r="U60" s="162">
        <f t="shared" si="22"/>
        <v>0</v>
      </c>
      <c r="V60" s="171">
        <f t="shared" si="22"/>
        <v>0</v>
      </c>
    </row>
    <row r="61" spans="1:22" s="5" customFormat="1">
      <c r="A61" s="166" t="s">
        <v>129</v>
      </c>
      <c r="B61" s="165"/>
      <c r="C61" s="165">
        <f>(C14*C46-B35)*C45</f>
        <v>0</v>
      </c>
      <c r="D61" s="165">
        <f t="shared" ref="D61:V61" si="23">($C$14*D46-$B$35)*D45</f>
        <v>0</v>
      </c>
      <c r="E61" s="165">
        <f t="shared" si="23"/>
        <v>0</v>
      </c>
      <c r="F61" s="165">
        <f t="shared" si="23"/>
        <v>0</v>
      </c>
      <c r="G61" s="165">
        <f t="shared" si="23"/>
        <v>0</v>
      </c>
      <c r="H61" s="165">
        <f t="shared" si="23"/>
        <v>0</v>
      </c>
      <c r="I61" s="165">
        <f t="shared" si="23"/>
        <v>0</v>
      </c>
      <c r="J61" s="165">
        <f t="shared" si="23"/>
        <v>0</v>
      </c>
      <c r="K61" s="165">
        <f t="shared" si="23"/>
        <v>0</v>
      </c>
      <c r="L61" s="165">
        <f t="shared" si="23"/>
        <v>0</v>
      </c>
      <c r="M61" s="165">
        <f t="shared" si="23"/>
        <v>0</v>
      </c>
      <c r="N61" s="165">
        <f t="shared" si="23"/>
        <v>0</v>
      </c>
      <c r="O61" s="165">
        <f t="shared" si="23"/>
        <v>0</v>
      </c>
      <c r="P61" s="165">
        <f t="shared" si="23"/>
        <v>0</v>
      </c>
      <c r="Q61" s="165">
        <f t="shared" si="23"/>
        <v>0</v>
      </c>
      <c r="R61" s="165">
        <f t="shared" si="23"/>
        <v>0</v>
      </c>
      <c r="S61" s="165">
        <f t="shared" si="23"/>
        <v>0</v>
      </c>
      <c r="T61" s="165">
        <f t="shared" si="23"/>
        <v>0</v>
      </c>
      <c r="U61" s="165">
        <f t="shared" si="23"/>
        <v>0</v>
      </c>
      <c r="V61" s="172">
        <f t="shared" si="23"/>
        <v>0</v>
      </c>
    </row>
    <row r="62" spans="1:22" s="5" customFormat="1">
      <c r="A62" s="166" t="s">
        <v>130</v>
      </c>
      <c r="B62" s="165">
        <f>-B38</f>
        <v>-11250000</v>
      </c>
      <c r="C62" s="165"/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72"/>
    </row>
    <row r="63" spans="1:22" s="5" customFormat="1">
      <c r="A63" s="167" t="s">
        <v>131</v>
      </c>
      <c r="B63" s="174">
        <f>B62+B59+B60-B61</f>
        <v>-11250000</v>
      </c>
      <c r="C63" s="174">
        <f>C62+C59+C60-C61</f>
        <v>-523916.45158597687</v>
      </c>
      <c r="D63" s="174">
        <f t="shared" ref="D63:V63" si="24">D62+D59+D60-D61</f>
        <v>-458291.45158597757</v>
      </c>
      <c r="E63" s="174">
        <f t="shared" si="24"/>
        <v>-391025.82658597827</v>
      </c>
      <c r="F63" s="174">
        <f t="shared" si="24"/>
        <v>-322078.56096097897</v>
      </c>
      <c r="G63" s="174">
        <f t="shared" si="24"/>
        <v>-251407.61369535467</v>
      </c>
      <c r="H63" s="174">
        <f t="shared" si="24"/>
        <v>-178969.89274808962</v>
      </c>
      <c r="I63" s="174">
        <f t="shared" si="24"/>
        <v>-104721.22877714294</v>
      </c>
      <c r="J63" s="174">
        <f t="shared" si="24"/>
        <v>-28616.348206922412</v>
      </c>
      <c r="K63" s="174">
        <f t="shared" si="24"/>
        <v>49391.154377553496</v>
      </c>
      <c r="L63" s="174">
        <f t="shared" si="24"/>
        <v>129348.84452664154</v>
      </c>
      <c r="M63" s="174">
        <f t="shared" si="24"/>
        <v>211305.47692945681</v>
      </c>
      <c r="N63" s="174">
        <f t="shared" si="24"/>
        <v>295311.02514234243</v>
      </c>
      <c r="O63" s="174">
        <f t="shared" si="24"/>
        <v>381416.71206054976</v>
      </c>
      <c r="P63" s="174">
        <f t="shared" si="24"/>
        <v>469675.04115171242</v>
      </c>
      <c r="Q63" s="174">
        <f t="shared" si="24"/>
        <v>560139.8284701542</v>
      </c>
      <c r="R63" s="174">
        <f t="shared" si="24"/>
        <v>0</v>
      </c>
      <c r="S63" s="174">
        <f t="shared" si="24"/>
        <v>0</v>
      </c>
      <c r="T63" s="174">
        <f t="shared" si="24"/>
        <v>0</v>
      </c>
      <c r="U63" s="174">
        <f t="shared" si="24"/>
        <v>0</v>
      </c>
      <c r="V63" s="175">
        <f t="shared" si="24"/>
        <v>0</v>
      </c>
    </row>
    <row r="64" spans="1:22" s="5" customFormat="1">
      <c r="A64" s="23" t="s">
        <v>132</v>
      </c>
      <c r="B64" s="162">
        <f>1</f>
        <v>1</v>
      </c>
      <c r="C64" s="162">
        <f t="shared" ref="C64:V64" si="25">C45*(1+$K$11)^C30</f>
        <v>1.1200000000000001</v>
      </c>
      <c r="D64" s="162">
        <f t="shared" si="25"/>
        <v>1.2544000000000002</v>
      </c>
      <c r="E64" s="162">
        <f t="shared" si="25"/>
        <v>1.4049280000000004</v>
      </c>
      <c r="F64" s="162">
        <f t="shared" si="25"/>
        <v>1.5735193600000004</v>
      </c>
      <c r="G64" s="162">
        <f t="shared" si="25"/>
        <v>1.7623416832000005</v>
      </c>
      <c r="H64" s="162">
        <f t="shared" si="25"/>
        <v>1.9738226851840008</v>
      </c>
      <c r="I64" s="162">
        <f t="shared" si="25"/>
        <v>2.210681407406081</v>
      </c>
      <c r="J64" s="162">
        <f t="shared" si="25"/>
        <v>2.4759631762948109</v>
      </c>
      <c r="K64" s="162">
        <f t="shared" si="25"/>
        <v>2.7730787574501883</v>
      </c>
      <c r="L64" s="162">
        <f t="shared" si="25"/>
        <v>3.1058482083442112</v>
      </c>
      <c r="M64" s="162">
        <f t="shared" si="25"/>
        <v>3.4785499933455171</v>
      </c>
      <c r="N64" s="162">
        <f t="shared" si="25"/>
        <v>3.8959759925469788</v>
      </c>
      <c r="O64" s="162">
        <f t="shared" si="25"/>
        <v>4.363493111652617</v>
      </c>
      <c r="P64" s="162">
        <f t="shared" si="25"/>
        <v>4.8871122850509314</v>
      </c>
      <c r="Q64" s="162">
        <f t="shared" si="25"/>
        <v>5.4735657592570428</v>
      </c>
      <c r="R64" s="162">
        <f t="shared" si="25"/>
        <v>0</v>
      </c>
      <c r="S64" s="162">
        <f t="shared" si="25"/>
        <v>0</v>
      </c>
      <c r="T64" s="162">
        <f t="shared" si="25"/>
        <v>0</v>
      </c>
      <c r="U64" s="162">
        <f t="shared" si="25"/>
        <v>0</v>
      </c>
      <c r="V64" s="171">
        <f t="shared" si="25"/>
        <v>0</v>
      </c>
    </row>
    <row r="65" spans="1:22" s="5" customFormat="1">
      <c r="A65" s="23" t="s">
        <v>133</v>
      </c>
      <c r="B65" s="162">
        <f>0-B38</f>
        <v>-11250000</v>
      </c>
      <c r="C65" s="162">
        <f t="shared" ref="C65:V65" si="26">(C63+C41+C42)/(1+$K$11)^C30</f>
        <v>-467782.54605890787</v>
      </c>
      <c r="D65" s="162">
        <f t="shared" si="26"/>
        <v>-365347.13933831116</v>
      </c>
      <c r="E65" s="162">
        <f t="shared" si="26"/>
        <v>-278324.45974881144</v>
      </c>
      <c r="F65" s="162">
        <f t="shared" si="26"/>
        <v>-204686.74815731464</v>
      </c>
      <c r="G65" s="162">
        <f t="shared" si="26"/>
        <v>-142655.43174287135</v>
      </c>
      <c r="H65" s="162">
        <f t="shared" si="26"/>
        <v>-90671.717419949477</v>
      </c>
      <c r="I65" s="162">
        <f t="shared" si="26"/>
        <v>-47370.565666455914</v>
      </c>
      <c r="J65" s="162">
        <f t="shared" si="26"/>
        <v>-11557.663086793455</v>
      </c>
      <c r="K65" s="162">
        <f t="shared" si="26"/>
        <v>17810.94541395862</v>
      </c>
      <c r="L65" s="162">
        <f t="shared" si="26"/>
        <v>41646.866121509513</v>
      </c>
      <c r="M65" s="162">
        <f t="shared" si="26"/>
        <v>60745.275282426643</v>
      </c>
      <c r="N65" s="162">
        <f t="shared" si="26"/>
        <v>75798.984826208864</v>
      </c>
      <c r="O65" s="162">
        <f t="shared" si="26"/>
        <v>87410.866088452036</v>
      </c>
      <c r="P65" s="162">
        <f t="shared" si="26"/>
        <v>96104.818910830014</v>
      </c>
      <c r="Q65" s="162">
        <f t="shared" si="26"/>
        <v>102335.45244666706</v>
      </c>
      <c r="R65" s="162">
        <f t="shared" si="26"/>
        <v>0</v>
      </c>
      <c r="S65" s="162">
        <f t="shared" si="26"/>
        <v>0</v>
      </c>
      <c r="T65" s="162">
        <f t="shared" si="26"/>
        <v>0</v>
      </c>
      <c r="U65" s="162">
        <f t="shared" si="26"/>
        <v>0</v>
      </c>
      <c r="V65" s="171">
        <f t="shared" si="26"/>
        <v>0</v>
      </c>
    </row>
    <row r="66" spans="1:22" s="5" customFormat="1" ht="13.5" thickBot="1">
      <c r="A66" s="26" t="s">
        <v>134</v>
      </c>
      <c r="B66" s="176">
        <f>B65</f>
        <v>-11250000</v>
      </c>
      <c r="C66" s="176">
        <f>B66+C65</f>
        <v>-11717782.546058908</v>
      </c>
      <c r="D66" s="176">
        <f t="shared" ref="D66:V66" si="27">C66+D65</f>
        <v>-12083129.685397219</v>
      </c>
      <c r="E66" s="176">
        <f t="shared" si="27"/>
        <v>-12361454.145146031</v>
      </c>
      <c r="F66" s="176">
        <f t="shared" si="27"/>
        <v>-12566140.893303346</v>
      </c>
      <c r="G66" s="176">
        <f t="shared" si="27"/>
        <v>-12708796.325046217</v>
      </c>
      <c r="H66" s="176">
        <f t="shared" si="27"/>
        <v>-12799468.042466167</v>
      </c>
      <c r="I66" s="176">
        <f t="shared" si="27"/>
        <v>-12846838.608132623</v>
      </c>
      <c r="J66" s="176">
        <f t="shared" si="27"/>
        <v>-12858396.271219417</v>
      </c>
      <c r="K66" s="176">
        <f t="shared" si="27"/>
        <v>-12840585.325805459</v>
      </c>
      <c r="L66" s="176">
        <f t="shared" si="27"/>
        <v>-12798938.459683949</v>
      </c>
      <c r="M66" s="176">
        <f t="shared" si="27"/>
        <v>-12738193.184401523</v>
      </c>
      <c r="N66" s="176">
        <f t="shared" si="27"/>
        <v>-12662394.199575314</v>
      </c>
      <c r="O66" s="176">
        <f t="shared" si="27"/>
        <v>-12574983.333486862</v>
      </c>
      <c r="P66" s="176">
        <f t="shared" si="27"/>
        <v>-12478878.514576033</v>
      </c>
      <c r="Q66" s="176">
        <f t="shared" si="27"/>
        <v>-12376543.062129365</v>
      </c>
      <c r="R66" s="176">
        <f t="shared" si="27"/>
        <v>-12376543.062129365</v>
      </c>
      <c r="S66" s="176">
        <f t="shared" si="27"/>
        <v>-12376543.062129365</v>
      </c>
      <c r="T66" s="176">
        <f t="shared" si="27"/>
        <v>-12376543.062129365</v>
      </c>
      <c r="U66" s="176">
        <f t="shared" si="27"/>
        <v>-12376543.062129365</v>
      </c>
      <c r="V66" s="177">
        <f t="shared" si="27"/>
        <v>-12376543.062129365</v>
      </c>
    </row>
    <row r="67" spans="1:22" s="5" customFormat="1" ht="13.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2"/>
      <c r="O67" s="42"/>
      <c r="P67" s="42"/>
      <c r="Q67" s="42"/>
      <c r="R67" s="42"/>
      <c r="S67" s="42"/>
      <c r="T67" s="42"/>
      <c r="U67" s="42"/>
      <c r="V67" s="42"/>
    </row>
    <row r="68" spans="1:22" s="5" customFormat="1" ht="13.5" thickTop="1">
      <c r="A68" s="3"/>
      <c r="B68" s="29" t="s">
        <v>135</v>
      </c>
      <c r="C68" s="30"/>
      <c r="D68" s="3"/>
      <c r="E68" s="3"/>
      <c r="F68" s="3"/>
      <c r="G68" s="3"/>
      <c r="H68" s="3"/>
      <c r="I68" s="3"/>
      <c r="J68" s="3"/>
      <c r="K68" s="3"/>
      <c r="L68" s="3"/>
      <c r="M68" s="3"/>
      <c r="N68" s="42"/>
      <c r="O68" s="42"/>
      <c r="P68" s="42"/>
      <c r="Q68" s="42"/>
      <c r="R68" s="42"/>
      <c r="S68" s="42"/>
      <c r="T68" s="42"/>
      <c r="U68" s="42"/>
      <c r="V68" s="42"/>
    </row>
    <row r="69" spans="1:22" s="5" customFormat="1">
      <c r="A69" s="3"/>
      <c r="B69" s="31" t="s">
        <v>136</v>
      </c>
      <c r="C69" s="32">
        <f>SUM(B65:V65)</f>
        <v>-12376543.062129365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42"/>
      <c r="O69" s="42"/>
      <c r="P69" s="42"/>
      <c r="Q69" s="42"/>
      <c r="R69" s="42"/>
      <c r="S69" s="42"/>
      <c r="T69" s="42"/>
      <c r="U69" s="42"/>
      <c r="V69" s="42"/>
    </row>
    <row r="70" spans="1:22" s="5" customFormat="1">
      <c r="A70" s="3"/>
      <c r="B70" s="31" t="s">
        <v>137</v>
      </c>
      <c r="C70" s="18">
        <f>IRR(B63:V63,K11)</f>
        <v>-0.13730022466655556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42"/>
      <c r="O70" s="42"/>
      <c r="P70" s="42"/>
      <c r="Q70" s="42"/>
      <c r="R70" s="42"/>
      <c r="S70" s="42"/>
      <c r="T70" s="42"/>
      <c r="U70" s="42"/>
      <c r="V70" s="42"/>
    </row>
    <row r="71" spans="1:22" s="5" customFormat="1" ht="13.5" thickBot="1">
      <c r="A71" s="3"/>
      <c r="B71" s="33" t="s">
        <v>138</v>
      </c>
      <c r="C71" s="34">
        <f>SUM(C59:V59)/SUM(B77:V77)</f>
        <v>-0.12680488101653348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42"/>
      <c r="O71" s="42"/>
      <c r="P71" s="42"/>
      <c r="Q71" s="42"/>
      <c r="R71" s="42"/>
      <c r="S71" s="42"/>
      <c r="T71" s="42"/>
      <c r="U71" s="42"/>
      <c r="V71" s="42"/>
    </row>
    <row r="72" spans="1:22" s="5" customFormat="1" ht="13.5" thickTop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2"/>
      <c r="O72" s="42"/>
      <c r="P72" s="42"/>
      <c r="Q72" s="42"/>
      <c r="R72" s="42"/>
      <c r="S72" s="42"/>
      <c r="T72" s="42"/>
      <c r="U72" s="42"/>
      <c r="V72" s="42"/>
    </row>
    <row r="73" spans="1:22" s="5" customForma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2"/>
      <c r="O73" s="42"/>
      <c r="P73" s="42"/>
      <c r="Q73" s="42"/>
      <c r="R73" s="42"/>
      <c r="S73" s="42"/>
      <c r="T73" s="42"/>
      <c r="U73" s="42"/>
      <c r="V73" s="42"/>
    </row>
    <row r="74" spans="1:22" s="5" customFormat="1">
      <c r="A74" s="3"/>
      <c r="B74" s="3"/>
      <c r="C74" s="3"/>
      <c r="D74" s="3"/>
      <c r="E74" s="3" t="s">
        <v>139</v>
      </c>
      <c r="F74" s="3"/>
      <c r="G74" s="3"/>
      <c r="H74" s="3"/>
      <c r="I74" s="3"/>
      <c r="J74" s="3"/>
      <c r="K74" s="3"/>
      <c r="L74" s="3"/>
      <c r="M74" s="3"/>
      <c r="N74" s="42"/>
      <c r="O74" s="42"/>
      <c r="P74" s="42"/>
      <c r="Q74" s="42"/>
      <c r="R74" s="42"/>
      <c r="S74" s="42"/>
      <c r="T74" s="42"/>
      <c r="U74" s="42"/>
      <c r="V74" s="42"/>
    </row>
    <row r="75" spans="1:22" s="5" customFormat="1">
      <c r="A75" s="3" t="s">
        <v>140</v>
      </c>
      <c r="B75" s="3"/>
      <c r="C75" s="19">
        <f>C4</f>
        <v>11250000</v>
      </c>
      <c r="D75" s="19">
        <f t="shared" ref="D75:V75" si="28">(C75-C76)*D45</f>
        <v>10500000</v>
      </c>
      <c r="E75" s="19">
        <f t="shared" si="28"/>
        <v>9750000</v>
      </c>
      <c r="F75" s="19">
        <f t="shared" si="28"/>
        <v>9000000</v>
      </c>
      <c r="G75" s="19">
        <f t="shared" si="28"/>
        <v>8250000</v>
      </c>
      <c r="H75" s="19">
        <f t="shared" si="28"/>
        <v>7500000</v>
      </c>
      <c r="I75" s="19">
        <f t="shared" si="28"/>
        <v>6750000</v>
      </c>
      <c r="J75" s="19">
        <f t="shared" si="28"/>
        <v>6000000</v>
      </c>
      <c r="K75" s="19">
        <f t="shared" si="28"/>
        <v>5250000</v>
      </c>
      <c r="L75" s="19">
        <f t="shared" si="28"/>
        <v>4500000</v>
      </c>
      <c r="M75" s="19">
        <f t="shared" si="28"/>
        <v>3750000</v>
      </c>
      <c r="N75" s="19">
        <f t="shared" si="28"/>
        <v>3000000</v>
      </c>
      <c r="O75" s="19">
        <f t="shared" si="28"/>
        <v>2250000</v>
      </c>
      <c r="P75" s="19">
        <f t="shared" si="28"/>
        <v>1500000</v>
      </c>
      <c r="Q75" s="19">
        <f t="shared" si="28"/>
        <v>750000</v>
      </c>
      <c r="R75" s="19">
        <f t="shared" si="28"/>
        <v>0</v>
      </c>
      <c r="S75" s="19">
        <f t="shared" si="28"/>
        <v>0</v>
      </c>
      <c r="T75" s="19">
        <f t="shared" si="28"/>
        <v>0</v>
      </c>
      <c r="U75" s="19">
        <f t="shared" si="28"/>
        <v>0</v>
      </c>
      <c r="V75" s="19">
        <f t="shared" si="28"/>
        <v>0</v>
      </c>
    </row>
    <row r="76" spans="1:22" s="5" customFormat="1">
      <c r="A76" s="3" t="s">
        <v>141</v>
      </c>
      <c r="B76" s="3"/>
      <c r="C76" s="19">
        <f t="shared" ref="C76:V76" si="29">IF($C$8=1,(($C$4-$C$7)/$C$6)*C45,(IF($C$7&lt;$C$4*(1-2/$C$6)^(C30),$C$4*(1-2/$C$6)^(C30-1)*(2/$C$6)*C45,(IF(0&gt;($C$4*(1-2/$C$6)^(C30-1))-$C$7,0,$C$4*C45*(1-2/$C$6)^(C30-1)-$C$7)))))</f>
        <v>750000</v>
      </c>
      <c r="D76" s="19">
        <f t="shared" si="29"/>
        <v>750000</v>
      </c>
      <c r="E76" s="19">
        <f t="shared" si="29"/>
        <v>750000</v>
      </c>
      <c r="F76" s="19">
        <f t="shared" si="29"/>
        <v>750000</v>
      </c>
      <c r="G76" s="19">
        <f t="shared" si="29"/>
        <v>750000</v>
      </c>
      <c r="H76" s="19">
        <f t="shared" si="29"/>
        <v>750000</v>
      </c>
      <c r="I76" s="19">
        <f t="shared" si="29"/>
        <v>750000</v>
      </c>
      <c r="J76" s="19">
        <f t="shared" si="29"/>
        <v>750000</v>
      </c>
      <c r="K76" s="19">
        <f t="shared" si="29"/>
        <v>750000</v>
      </c>
      <c r="L76" s="19">
        <f t="shared" si="29"/>
        <v>750000</v>
      </c>
      <c r="M76" s="19">
        <f t="shared" si="29"/>
        <v>750000</v>
      </c>
      <c r="N76" s="19">
        <f t="shared" si="29"/>
        <v>750000</v>
      </c>
      <c r="O76" s="19">
        <f t="shared" si="29"/>
        <v>750000</v>
      </c>
      <c r="P76" s="19">
        <f t="shared" si="29"/>
        <v>750000</v>
      </c>
      <c r="Q76" s="19">
        <f t="shared" si="29"/>
        <v>750000</v>
      </c>
      <c r="R76" s="19">
        <f t="shared" si="29"/>
        <v>0</v>
      </c>
      <c r="S76" s="19">
        <f t="shared" si="29"/>
        <v>0</v>
      </c>
      <c r="T76" s="19">
        <f t="shared" si="29"/>
        <v>0</v>
      </c>
      <c r="U76" s="19">
        <f t="shared" si="29"/>
        <v>0</v>
      </c>
      <c r="V76" s="19">
        <f t="shared" si="29"/>
        <v>0</v>
      </c>
    </row>
    <row r="77" spans="1:22" s="5" customFormat="1">
      <c r="A77" s="3" t="s">
        <v>142</v>
      </c>
      <c r="B77" s="19">
        <f>C4</f>
        <v>11250000</v>
      </c>
      <c r="C77" s="19">
        <f>C75-C76</f>
        <v>10500000</v>
      </c>
      <c r="D77" s="19">
        <f t="shared" ref="D77:U77" si="30">D75-D76</f>
        <v>9750000</v>
      </c>
      <c r="E77" s="19">
        <f t="shared" si="30"/>
        <v>9000000</v>
      </c>
      <c r="F77" s="19">
        <f t="shared" si="30"/>
        <v>8250000</v>
      </c>
      <c r="G77" s="19">
        <f t="shared" si="30"/>
        <v>7500000</v>
      </c>
      <c r="H77" s="19">
        <f t="shared" si="30"/>
        <v>6750000</v>
      </c>
      <c r="I77" s="19">
        <f t="shared" si="30"/>
        <v>6000000</v>
      </c>
      <c r="J77" s="19">
        <f t="shared" si="30"/>
        <v>5250000</v>
      </c>
      <c r="K77" s="19">
        <f t="shared" si="30"/>
        <v>4500000</v>
      </c>
      <c r="L77" s="19">
        <f t="shared" si="30"/>
        <v>3750000</v>
      </c>
      <c r="M77" s="19">
        <f>M75-M76</f>
        <v>3000000</v>
      </c>
      <c r="N77" s="19">
        <f t="shared" si="30"/>
        <v>2250000</v>
      </c>
      <c r="O77" s="19">
        <f t="shared" si="30"/>
        <v>1500000</v>
      </c>
      <c r="P77" s="19">
        <f t="shared" si="30"/>
        <v>750000</v>
      </c>
      <c r="Q77" s="19">
        <f t="shared" si="30"/>
        <v>0</v>
      </c>
      <c r="R77" s="19">
        <f t="shared" si="30"/>
        <v>0</v>
      </c>
      <c r="S77" s="19">
        <f t="shared" si="30"/>
        <v>0</v>
      </c>
      <c r="T77" s="19">
        <f t="shared" si="30"/>
        <v>0</v>
      </c>
      <c r="U77" s="19">
        <f t="shared" si="30"/>
        <v>0</v>
      </c>
      <c r="V77" s="19">
        <f>V75-V76</f>
        <v>0</v>
      </c>
    </row>
    <row r="78" spans="1:22" s="5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42"/>
      <c r="O78" s="42"/>
      <c r="P78" s="42"/>
      <c r="Q78" s="42"/>
      <c r="R78" s="42"/>
      <c r="S78" s="42"/>
      <c r="T78" s="42"/>
      <c r="U78" s="42"/>
      <c r="V78" s="42"/>
    </row>
    <row r="79" spans="1:22" s="5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42"/>
      <c r="O79" s="42"/>
      <c r="P79" s="42"/>
      <c r="Q79" s="42"/>
      <c r="R79" s="42"/>
      <c r="S79" s="42"/>
      <c r="T79" s="42"/>
      <c r="U79" s="42"/>
      <c r="V79" s="42"/>
    </row>
    <row r="80" spans="1:22" s="5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42"/>
      <c r="O80" s="42"/>
      <c r="P80" s="42"/>
      <c r="Q80" s="42"/>
      <c r="R80" s="42"/>
      <c r="S80" s="42"/>
      <c r="T80" s="42"/>
      <c r="U80" s="42"/>
      <c r="V80" s="42"/>
    </row>
    <row r="81" spans="1:13" s="5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</sheetData>
  <printOptions gridLinesSet="0"/>
  <pageMargins left="0.75" right="0.75" top="1" bottom="1" header="0.5" footer="0.5"/>
  <pageSetup firstPageNumber="5" orientation="landscape" useFirstPageNumber="1" horizontalDpi="0" verticalDpi="0" copies="0"/>
  <headerFooter alignWithMargins="0">
    <oddHeader>&amp;C&amp;"Times"&amp;12CAPITAL BUDGETING WORKSHEET&amp;R&amp;P</oddHeader>
  </headerFooter>
  <rowBreaks count="2" manualBreakCount="2">
    <brk id="20" max="65535" man="1"/>
    <brk id="61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14AB-34AE-3C4C-AD9C-3489460DA9C8}">
  <dimension ref="A1:AH107"/>
  <sheetViews>
    <sheetView zoomScale="90" zoomScaleNormal="90" workbookViewId="0">
      <selection activeCell="G73" sqref="G73"/>
    </sheetView>
  </sheetViews>
  <sheetFormatPr defaultColWidth="10.7109375" defaultRowHeight="15.75"/>
  <cols>
    <col min="1" max="1" width="19" style="43" bestFit="1" customWidth="1"/>
    <col min="2" max="2" width="19.85546875" style="43" customWidth="1"/>
    <col min="3" max="3" width="16.140625" style="43" bestFit="1" customWidth="1"/>
    <col min="4" max="4" width="22.85546875" style="43" bestFit="1" customWidth="1"/>
    <col min="5" max="5" width="22" style="43" bestFit="1" customWidth="1"/>
    <col min="6" max="6" width="12.5703125" style="43" bestFit="1" customWidth="1"/>
    <col min="7" max="7" width="27" style="43" bestFit="1" customWidth="1"/>
    <col min="8" max="8" width="21.28515625" style="43" bestFit="1" customWidth="1"/>
    <col min="9" max="9" width="17.42578125" style="43" bestFit="1" customWidth="1"/>
    <col min="10" max="10" width="18.5703125" style="43" bestFit="1" customWidth="1"/>
    <col min="11" max="12" width="13.42578125" style="43" bestFit="1" customWidth="1"/>
    <col min="13" max="13" width="15.5703125" style="43" bestFit="1" customWidth="1"/>
    <col min="14" max="14" width="15.42578125" style="43" bestFit="1" customWidth="1"/>
    <col min="15" max="15" width="19" style="43" bestFit="1" customWidth="1"/>
    <col min="16" max="16" width="22.42578125" style="43" bestFit="1" customWidth="1"/>
    <col min="17" max="17" width="25.5703125" style="43" bestFit="1" customWidth="1"/>
    <col min="18" max="18" width="20.140625" style="43" bestFit="1" customWidth="1"/>
    <col min="19" max="19" width="10.7109375" style="43"/>
    <col min="20" max="20" width="20.42578125" style="43" bestFit="1" customWidth="1"/>
    <col min="21" max="21" width="15.42578125" style="43" bestFit="1" customWidth="1"/>
    <col min="22" max="22" width="21.7109375" style="43" bestFit="1" customWidth="1"/>
    <col min="23" max="23" width="15.85546875" style="43" bestFit="1" customWidth="1"/>
    <col min="24" max="24" width="20.42578125" style="43" bestFit="1" customWidth="1"/>
    <col min="25" max="25" width="24.5703125" style="43" bestFit="1" customWidth="1"/>
    <col min="26" max="26" width="22.5703125" style="43" bestFit="1" customWidth="1"/>
    <col min="27" max="27" width="8" style="43" bestFit="1" customWidth="1"/>
    <col min="28" max="28" width="22" style="43" customWidth="1"/>
    <col min="29" max="16384" width="10.7109375" style="43"/>
  </cols>
  <sheetData>
    <row r="1" spans="1:28">
      <c r="A1" s="49" t="s">
        <v>143</v>
      </c>
      <c r="Q1" s="84" t="s">
        <v>144</v>
      </c>
      <c r="V1" s="84" t="s">
        <v>145</v>
      </c>
    </row>
    <row r="2" spans="1:28">
      <c r="A2" s="43" t="s">
        <v>146</v>
      </c>
      <c r="B2" s="133" t="e">
        <f>#REF!*#REF!*#REF!/1000</f>
        <v>#REF!</v>
      </c>
      <c r="C2" s="43" t="s">
        <v>147</v>
      </c>
      <c r="D2" s="137" t="s">
        <v>148</v>
      </c>
      <c r="E2" s="44">
        <f>Z18</f>
        <v>320</v>
      </c>
      <c r="G2" s="137" t="s">
        <v>149</v>
      </c>
      <c r="J2" s="196" t="s">
        <v>150</v>
      </c>
      <c r="K2" s="196"/>
      <c r="L2" s="196"/>
      <c r="N2" s="137"/>
      <c r="Q2" s="62" t="s">
        <v>151</v>
      </c>
      <c r="R2" s="62" t="s">
        <v>152</v>
      </c>
      <c r="S2" s="62" t="s">
        <v>153</v>
      </c>
      <c r="T2" s="62" t="s">
        <v>154</v>
      </c>
      <c r="V2" s="62" t="s">
        <v>155</v>
      </c>
      <c r="W2" s="62" t="s">
        <v>152</v>
      </c>
      <c r="X2" s="62" t="s">
        <v>153</v>
      </c>
      <c r="Y2" s="62" t="s">
        <v>154</v>
      </c>
    </row>
    <row r="3" spans="1:28">
      <c r="A3" s="43" t="s">
        <v>156</v>
      </c>
      <c r="B3" s="50" t="e">
        <f>B5*E3</f>
        <v>#REF!</v>
      </c>
      <c r="C3" s="43" t="s">
        <v>157</v>
      </c>
      <c r="D3" s="43" t="s">
        <v>158</v>
      </c>
      <c r="E3" s="45">
        <v>1.1499999999999999</v>
      </c>
      <c r="G3" s="43" t="s">
        <v>159</v>
      </c>
      <c r="H3" s="43" t="s">
        <v>160</v>
      </c>
      <c r="I3" s="43" t="s">
        <v>161</v>
      </c>
      <c r="J3" s="43" t="s">
        <v>162</v>
      </c>
      <c r="K3" s="43" t="s">
        <v>163</v>
      </c>
      <c r="L3" s="43" t="s">
        <v>164</v>
      </c>
      <c r="N3" s="137" t="s">
        <v>2</v>
      </c>
      <c r="O3" s="137" t="s">
        <v>4</v>
      </c>
      <c r="Q3" s="136" t="s">
        <v>165</v>
      </c>
      <c r="R3" s="70">
        <v>2573</v>
      </c>
      <c r="S3" s="136" t="s">
        <v>166</v>
      </c>
      <c r="T3" s="136" t="s">
        <v>167</v>
      </c>
      <c r="V3" s="136" t="s">
        <v>168</v>
      </c>
      <c r="W3" s="123">
        <v>10</v>
      </c>
      <c r="X3" s="136" t="s">
        <v>169</v>
      </c>
      <c r="Y3" s="70"/>
    </row>
    <row r="4" spans="1:28">
      <c r="A4" s="43" t="s">
        <v>170</v>
      </c>
      <c r="B4" s="50" t="e">
        <f>B5*E4</f>
        <v>#REF!</v>
      </c>
      <c r="C4" s="43" t="s">
        <v>157</v>
      </c>
      <c r="D4" s="43" t="s">
        <v>171</v>
      </c>
      <c r="E4" s="45">
        <v>0.85</v>
      </c>
      <c r="G4" s="46" t="e">
        <f>#REF!</f>
        <v>#REF!</v>
      </c>
      <c r="H4" s="46" t="e">
        <f>#REF!</f>
        <v>#REF!</v>
      </c>
      <c r="I4" s="46" t="e">
        <f>#REF!</f>
        <v>#REF!</v>
      </c>
      <c r="J4" s="46" t="e">
        <f>#REF!</f>
        <v>#REF!</v>
      </c>
      <c r="K4" s="46" t="e">
        <f>#REF!</f>
        <v>#REF!</v>
      </c>
      <c r="L4" s="46" t="e">
        <f>#REF!</f>
        <v>#REF!</v>
      </c>
      <c r="N4" s="133" t="e">
        <f>#REF!</f>
        <v>#REF!</v>
      </c>
      <c r="O4" s="51" t="e">
        <f>(((N4/1000)*(1-(J4*(1/(1-G4)))/1)*((1-G4)/1))-(0.02443*G4))*1000</f>
        <v>#REF!</v>
      </c>
      <c r="P4" s="52"/>
      <c r="Q4" s="136" t="s">
        <v>172</v>
      </c>
      <c r="R4" s="70">
        <v>1.05</v>
      </c>
      <c r="S4" s="136" t="s">
        <v>173</v>
      </c>
      <c r="T4" s="70"/>
      <c r="V4" s="136" t="s">
        <v>174</v>
      </c>
      <c r="W4" s="123">
        <v>0.2</v>
      </c>
      <c r="X4" s="136" t="s">
        <v>175</v>
      </c>
      <c r="Y4" s="70"/>
    </row>
    <row r="5" spans="1:28">
      <c r="A5" s="43" t="s">
        <v>176</v>
      </c>
      <c r="B5" s="87" t="e">
        <f>B2/E2/24</f>
        <v>#REF!</v>
      </c>
      <c r="C5" s="43" t="s">
        <v>157</v>
      </c>
      <c r="D5" s="137" t="s">
        <v>177</v>
      </c>
      <c r="E5" s="44">
        <v>320</v>
      </c>
      <c r="I5" s="43" t="s">
        <v>178</v>
      </c>
      <c r="J5" s="197" t="e">
        <f>SUM(J4:L4)</f>
        <v>#REF!</v>
      </c>
      <c r="K5" s="196"/>
      <c r="L5" s="196"/>
      <c r="O5" s="137"/>
      <c r="P5" s="55"/>
      <c r="Q5" s="136" t="s">
        <v>179</v>
      </c>
      <c r="R5" s="70">
        <f>1.3*(G66-25)</f>
        <v>552.5</v>
      </c>
      <c r="S5" s="136" t="s">
        <v>166</v>
      </c>
      <c r="T5" s="136" t="s">
        <v>180</v>
      </c>
      <c r="V5" s="136" t="s">
        <v>181</v>
      </c>
      <c r="W5" s="123">
        <v>-0.05</v>
      </c>
      <c r="X5" s="136" t="s">
        <v>175</v>
      </c>
      <c r="Y5" s="70"/>
    </row>
    <row r="6" spans="1:28">
      <c r="A6" s="137" t="s">
        <v>182</v>
      </c>
      <c r="B6" s="51" t="e">
        <f>(E2-E5)*24*B5*1000/R12</f>
        <v>#REF!</v>
      </c>
      <c r="C6" s="137" t="s">
        <v>183</v>
      </c>
      <c r="G6" s="52" t="e">
        <f>G4*$B$5*1000</f>
        <v>#REF!</v>
      </c>
      <c r="H6" s="52" t="e">
        <f t="shared" ref="H6:L6" si="0">H4*$B$5*1000</f>
        <v>#REF!</v>
      </c>
      <c r="I6" s="52" t="e">
        <f t="shared" si="0"/>
        <v>#REF!</v>
      </c>
      <c r="J6" s="52" t="e">
        <f t="shared" si="0"/>
        <v>#REF!</v>
      </c>
      <c r="K6" s="52" t="e">
        <f t="shared" si="0"/>
        <v>#REF!</v>
      </c>
      <c r="L6" s="52" t="e">
        <f t="shared" si="0"/>
        <v>#REF!</v>
      </c>
      <c r="N6" s="52" t="e">
        <f>B5*1000-G6-J6</f>
        <v>#REF!</v>
      </c>
      <c r="O6" s="137"/>
      <c r="Q6" s="136" t="s">
        <v>184</v>
      </c>
      <c r="R6" s="78">
        <f>4050-(1.5*(1200-H66))</f>
        <v>3525</v>
      </c>
      <c r="S6" s="136" t="s">
        <v>166</v>
      </c>
      <c r="T6" s="136" t="s">
        <v>185</v>
      </c>
      <c r="V6" s="136" t="s">
        <v>186</v>
      </c>
      <c r="W6" s="123">
        <v>0.15</v>
      </c>
      <c r="X6" s="136" t="s">
        <v>187</v>
      </c>
      <c r="Y6" s="70"/>
    </row>
    <row r="7" spans="1:28">
      <c r="A7" s="49"/>
      <c r="Q7" s="136" t="s">
        <v>188</v>
      </c>
      <c r="R7" s="77">
        <f>(1/12)/0.21*29*R10</f>
        <v>13.809523809523808</v>
      </c>
      <c r="S7" s="136" t="s">
        <v>189</v>
      </c>
      <c r="T7" s="136" t="s">
        <v>190</v>
      </c>
      <c r="V7" s="136" t="s">
        <v>191</v>
      </c>
      <c r="W7" s="124">
        <v>1E-3</v>
      </c>
      <c r="X7" s="136" t="s">
        <v>175</v>
      </c>
      <c r="Y7" s="70"/>
    </row>
    <row r="8" spans="1:28">
      <c r="A8" s="49" t="s">
        <v>192</v>
      </c>
      <c r="Q8" s="136" t="s">
        <v>193</v>
      </c>
      <c r="R8" s="78">
        <f>1*(H66-25)</f>
        <v>825</v>
      </c>
      <c r="S8" s="136" t="s">
        <v>166</v>
      </c>
      <c r="T8" s="136" t="s">
        <v>185</v>
      </c>
      <c r="V8" s="136" t="s">
        <v>194</v>
      </c>
      <c r="W8" s="123">
        <v>0</v>
      </c>
      <c r="X8" s="136" t="s">
        <v>175</v>
      </c>
      <c r="Y8" s="70"/>
    </row>
    <row r="9" spans="1:28">
      <c r="A9" s="43" t="s">
        <v>146</v>
      </c>
      <c r="B9" s="44">
        <v>0</v>
      </c>
      <c r="C9" s="43" t="s">
        <v>147</v>
      </c>
      <c r="D9" s="137" t="s">
        <v>148</v>
      </c>
      <c r="E9" s="44">
        <f>Z18</f>
        <v>320</v>
      </c>
      <c r="G9" s="137" t="s">
        <v>149</v>
      </c>
      <c r="J9" s="196" t="s">
        <v>150</v>
      </c>
      <c r="K9" s="196"/>
      <c r="L9" s="196"/>
      <c r="N9" s="137"/>
      <c r="Q9" s="136" t="s">
        <v>195</v>
      </c>
      <c r="R9" s="138">
        <v>0.03</v>
      </c>
      <c r="S9" s="136" t="s">
        <v>196</v>
      </c>
      <c r="T9" s="136" t="s">
        <v>197</v>
      </c>
      <c r="V9" s="136" t="s">
        <v>198</v>
      </c>
      <c r="W9" s="123">
        <v>0.2</v>
      </c>
      <c r="X9" s="136" t="s">
        <v>175</v>
      </c>
      <c r="Y9" s="70"/>
    </row>
    <row r="10" spans="1:28">
      <c r="A10" s="43" t="s">
        <v>156</v>
      </c>
      <c r="B10" s="50">
        <f>B12*E10</f>
        <v>0</v>
      </c>
      <c r="C10" s="43" t="s">
        <v>157</v>
      </c>
      <c r="D10" s="43" t="s">
        <v>158</v>
      </c>
      <c r="E10" s="45">
        <v>1.1499999999999999</v>
      </c>
      <c r="G10" s="43" t="s">
        <v>159</v>
      </c>
      <c r="H10" s="43" t="s">
        <v>160</v>
      </c>
      <c r="I10" s="43" t="s">
        <v>161</v>
      </c>
      <c r="J10" s="43" t="s">
        <v>162</v>
      </c>
      <c r="K10" s="43" t="s">
        <v>163</v>
      </c>
      <c r="L10" s="43" t="s">
        <v>164</v>
      </c>
      <c r="N10" s="137" t="s">
        <v>2</v>
      </c>
      <c r="O10" s="137" t="s">
        <v>4</v>
      </c>
      <c r="Q10" s="136" t="s">
        <v>199</v>
      </c>
      <c r="R10" s="138">
        <f>I66</f>
        <v>1.2</v>
      </c>
      <c r="S10" s="136" t="s">
        <v>196</v>
      </c>
      <c r="T10" s="136" t="s">
        <v>200</v>
      </c>
      <c r="V10" s="136" t="s">
        <v>201</v>
      </c>
      <c r="W10" s="123">
        <v>0</v>
      </c>
      <c r="X10" s="136" t="s">
        <v>175</v>
      </c>
      <c r="Y10" s="70"/>
    </row>
    <row r="11" spans="1:28">
      <c r="A11" s="43" t="s">
        <v>170</v>
      </c>
      <c r="B11" s="50">
        <f>B12*E11</f>
        <v>0</v>
      </c>
      <c r="C11" s="43" t="s">
        <v>157</v>
      </c>
      <c r="D11" s="43" t="s">
        <v>171</v>
      </c>
      <c r="E11" s="45">
        <v>0.85</v>
      </c>
      <c r="G11" s="46">
        <v>0.1</v>
      </c>
      <c r="H11" s="46">
        <f>(1-G11)*0.8</f>
        <v>0.72000000000000008</v>
      </c>
      <c r="I11" s="46">
        <f>(1-G11)*0.193</f>
        <v>0.17370000000000002</v>
      </c>
      <c r="J11" s="47">
        <f>(1-G11)*0.7%</f>
        <v>6.2999999999999992E-3</v>
      </c>
      <c r="K11" s="48">
        <v>0</v>
      </c>
      <c r="L11" s="48">
        <v>0</v>
      </c>
      <c r="N11" s="44">
        <v>18800</v>
      </c>
      <c r="O11" s="51">
        <f>(((N11/1000)*(1-(J11*(1/(1-G11)))/1)*((1-G11)/1))-(0.02443*G11))*1000</f>
        <v>16799.117000000002</v>
      </c>
      <c r="Q11" s="136" t="s">
        <v>202</v>
      </c>
      <c r="R11" s="70">
        <v>3300</v>
      </c>
      <c r="S11" s="136" t="s">
        <v>166</v>
      </c>
      <c r="T11" s="136" t="s">
        <v>203</v>
      </c>
      <c r="V11" s="136" t="s">
        <v>204</v>
      </c>
      <c r="W11" s="123">
        <v>0.1</v>
      </c>
      <c r="X11" s="136" t="s">
        <v>175</v>
      </c>
      <c r="Y11" s="70"/>
    </row>
    <row r="12" spans="1:28">
      <c r="A12" s="43" t="s">
        <v>176</v>
      </c>
      <c r="B12" s="87">
        <f>B9/E9/24</f>
        <v>0</v>
      </c>
      <c r="C12" s="43" t="s">
        <v>157</v>
      </c>
      <c r="D12" s="137" t="s">
        <v>177</v>
      </c>
      <c r="E12" s="44">
        <v>120</v>
      </c>
      <c r="I12" s="43" t="s">
        <v>178</v>
      </c>
      <c r="J12" s="197">
        <f>SUM(J11:L11)</f>
        <v>6.2999999999999992E-3</v>
      </c>
      <c r="K12" s="196"/>
      <c r="L12" s="196"/>
      <c r="O12" s="137"/>
      <c r="Q12" s="136" t="s">
        <v>205</v>
      </c>
      <c r="R12" s="70">
        <v>700</v>
      </c>
      <c r="S12" s="136" t="s">
        <v>206</v>
      </c>
      <c r="T12" s="70"/>
      <c r="V12" s="136" t="s">
        <v>207</v>
      </c>
      <c r="W12" s="128" t="e">
        <f>(B2*W5+B9*W8)/(B2+B9)</f>
        <v>#REF!</v>
      </c>
      <c r="X12" s="136" t="s">
        <v>175</v>
      </c>
      <c r="Y12" s="70"/>
    </row>
    <row r="13" spans="1:28">
      <c r="A13" s="137" t="s">
        <v>182</v>
      </c>
      <c r="B13" s="51">
        <f>(E9-E12)*24*B12*1000/R12</f>
        <v>0</v>
      </c>
      <c r="C13" s="137" t="s">
        <v>183</v>
      </c>
      <c r="G13" s="52">
        <f>G11*$B$12*1000</f>
        <v>0</v>
      </c>
      <c r="H13" s="52">
        <f t="shared" ref="H13:L13" si="1">H11*$B$12*1000</f>
        <v>0</v>
      </c>
      <c r="I13" s="52">
        <f t="shared" si="1"/>
        <v>0</v>
      </c>
      <c r="J13" s="52">
        <f t="shared" si="1"/>
        <v>0</v>
      </c>
      <c r="K13" s="52">
        <f t="shared" si="1"/>
        <v>0</v>
      </c>
      <c r="L13" s="52">
        <f t="shared" si="1"/>
        <v>0</v>
      </c>
      <c r="N13" s="52">
        <f>B12*1000-G13-J13</f>
        <v>0</v>
      </c>
      <c r="O13" s="137"/>
      <c r="V13" s="136" t="s">
        <v>208</v>
      </c>
      <c r="W13" s="68">
        <v>1</v>
      </c>
      <c r="X13" s="136" t="s">
        <v>175</v>
      </c>
      <c r="Y13" s="70"/>
    </row>
    <row r="14" spans="1:28">
      <c r="A14" s="49"/>
      <c r="Q14" s="71" t="s">
        <v>209</v>
      </c>
      <c r="V14" s="137"/>
      <c r="W14" s="59"/>
    </row>
    <row r="15" spans="1:28">
      <c r="A15" s="49" t="s">
        <v>210</v>
      </c>
      <c r="Q15" s="62" t="s">
        <v>151</v>
      </c>
      <c r="R15" s="62" t="s">
        <v>152</v>
      </c>
      <c r="S15" s="62" t="s">
        <v>153</v>
      </c>
      <c r="T15" s="62" t="s">
        <v>154</v>
      </c>
      <c r="V15" s="71" t="s">
        <v>211</v>
      </c>
      <c r="Y15" s="71" t="s">
        <v>212</v>
      </c>
    </row>
    <row r="16" spans="1:28">
      <c r="A16" s="43" t="s">
        <v>146</v>
      </c>
      <c r="B16" s="43" t="e">
        <f>B2+B9</f>
        <v>#REF!</v>
      </c>
      <c r="C16" s="43" t="s">
        <v>147</v>
      </c>
      <c r="D16" s="137" t="s">
        <v>148</v>
      </c>
      <c r="E16" s="44">
        <f>Z18</f>
        <v>320</v>
      </c>
      <c r="G16" s="137" t="s">
        <v>149</v>
      </c>
      <c r="J16" s="196" t="s">
        <v>150</v>
      </c>
      <c r="K16" s="196"/>
      <c r="L16" s="196"/>
      <c r="N16" s="137"/>
      <c r="Q16" s="136" t="s">
        <v>213</v>
      </c>
      <c r="R16" s="125">
        <v>50</v>
      </c>
      <c r="S16" s="136" t="s">
        <v>214</v>
      </c>
      <c r="T16" s="70"/>
      <c r="V16" s="137" t="s">
        <v>215</v>
      </c>
      <c r="W16" s="60">
        <f>Z28*W17</f>
        <v>45000</v>
      </c>
      <c r="Y16" s="62" t="s">
        <v>151</v>
      </c>
      <c r="Z16" s="62" t="s">
        <v>152</v>
      </c>
      <c r="AA16" s="62" t="s">
        <v>153</v>
      </c>
      <c r="AB16" s="62" t="s">
        <v>154</v>
      </c>
    </row>
    <row r="17" spans="1:34">
      <c r="A17" s="43" t="s">
        <v>156</v>
      </c>
      <c r="B17" s="50" t="e">
        <f>B3+B10</f>
        <v>#REF!</v>
      </c>
      <c r="C17" s="43" t="s">
        <v>157</v>
      </c>
      <c r="D17" s="43" t="s">
        <v>158</v>
      </c>
      <c r="E17" s="56" t="e">
        <f>B17/B19</f>
        <v>#REF!</v>
      </c>
      <c r="G17" s="43" t="s">
        <v>159</v>
      </c>
      <c r="H17" s="43" t="s">
        <v>160</v>
      </c>
      <c r="I17" s="43" t="s">
        <v>161</v>
      </c>
      <c r="J17" s="43" t="s">
        <v>162</v>
      </c>
      <c r="K17" s="43" t="s">
        <v>163</v>
      </c>
      <c r="L17" s="43" t="s">
        <v>164</v>
      </c>
      <c r="N17" s="137" t="s">
        <v>2</v>
      </c>
      <c r="O17" s="137" t="s">
        <v>4</v>
      </c>
      <c r="Q17" s="136" t="s">
        <v>216</v>
      </c>
      <c r="R17" s="68">
        <v>3750</v>
      </c>
      <c r="S17" s="136" t="s">
        <v>217</v>
      </c>
      <c r="T17" s="70"/>
      <c r="V17" s="137" t="s">
        <v>218</v>
      </c>
      <c r="W17" s="60">
        <f>Z25*Z26</f>
        <v>450000</v>
      </c>
      <c r="Y17" s="136" t="s">
        <v>219</v>
      </c>
      <c r="Z17" s="68">
        <v>24</v>
      </c>
      <c r="AA17" s="70"/>
      <c r="AB17" s="70"/>
    </row>
    <row r="18" spans="1:34">
      <c r="A18" s="43" t="s">
        <v>170</v>
      </c>
      <c r="B18" s="50" t="e">
        <f>B4+B11</f>
        <v>#REF!</v>
      </c>
      <c r="C18" s="43" t="s">
        <v>157</v>
      </c>
      <c r="D18" s="43" t="s">
        <v>171</v>
      </c>
      <c r="E18" s="56" t="e">
        <f>B18/B19</f>
        <v>#REF!</v>
      </c>
      <c r="G18" s="57" t="e">
        <f>G20/SUM($G$20:$L$20)</f>
        <v>#REF!</v>
      </c>
      <c r="H18" s="57" t="e">
        <f t="shared" ref="H18:L18" si="2">H20/SUM($G$20:$L$20)</f>
        <v>#REF!</v>
      </c>
      <c r="I18" s="57" t="e">
        <f t="shared" si="2"/>
        <v>#REF!</v>
      </c>
      <c r="J18" s="58" t="e">
        <f t="shared" si="2"/>
        <v>#REF!</v>
      </c>
      <c r="K18" s="58" t="e">
        <f t="shared" si="2"/>
        <v>#REF!</v>
      </c>
      <c r="L18" s="58" t="e">
        <f t="shared" si="2"/>
        <v>#REF!</v>
      </c>
      <c r="N18" s="51" t="e">
        <f>(N4*N6+N11*N13)/(N6+N13)</f>
        <v>#REF!</v>
      </c>
      <c r="O18" s="51" t="e">
        <f>(((N18/1000)*(1-(J18*(1/(1-G18)))/1)*((1-G18)/1))-(0.02443*G18))*1000</f>
        <v>#REF!</v>
      </c>
      <c r="Q18" s="136" t="s">
        <v>220</v>
      </c>
      <c r="R18" s="68">
        <v>1.5</v>
      </c>
      <c r="S18" s="136" t="s">
        <v>221</v>
      </c>
      <c r="T18" s="70"/>
      <c r="W18" s="60"/>
      <c r="Y18" s="136" t="s">
        <v>222</v>
      </c>
      <c r="Z18" s="68">
        <v>320</v>
      </c>
      <c r="AA18" s="70"/>
      <c r="AB18" s="70"/>
    </row>
    <row r="19" spans="1:34">
      <c r="A19" s="43" t="s">
        <v>176</v>
      </c>
      <c r="B19" s="87" t="e">
        <f>B5+B12</f>
        <v>#REF!</v>
      </c>
      <c r="C19" s="43" t="s">
        <v>157</v>
      </c>
      <c r="D19" s="137" t="s">
        <v>177</v>
      </c>
      <c r="E19" s="44">
        <v>320</v>
      </c>
      <c r="I19" s="43" t="s">
        <v>178</v>
      </c>
      <c r="J19" s="197" t="e">
        <f>SUM(J18:L18)</f>
        <v>#REF!</v>
      </c>
      <c r="K19" s="196"/>
      <c r="L19" s="196"/>
      <c r="O19" s="137"/>
      <c r="Q19" s="136" t="s">
        <v>223</v>
      </c>
      <c r="R19" s="126">
        <v>0.08</v>
      </c>
      <c r="S19" s="136" t="s">
        <v>196</v>
      </c>
      <c r="T19" s="70"/>
      <c r="V19" s="137" t="s">
        <v>224</v>
      </c>
      <c r="W19" s="60" t="e">
        <f>Z30*W6*Z17*Z18</f>
        <v>#REF!</v>
      </c>
      <c r="Y19" s="136" t="s">
        <v>225</v>
      </c>
      <c r="Z19" s="68">
        <v>1</v>
      </c>
      <c r="AA19" s="70"/>
      <c r="AB19" s="70"/>
    </row>
    <row r="20" spans="1:34">
      <c r="A20" s="137" t="s">
        <v>182</v>
      </c>
      <c r="B20" s="51" t="e">
        <f>(E16-E19)*24*B19*1000/R12</f>
        <v>#REF!</v>
      </c>
      <c r="C20" s="137" t="s">
        <v>183</v>
      </c>
      <c r="G20" s="52" t="e">
        <f>G6+G13</f>
        <v>#REF!</v>
      </c>
      <c r="H20" s="52" t="e">
        <f t="shared" ref="H20:L20" si="3">H6+H13</f>
        <v>#REF!</v>
      </c>
      <c r="I20" s="52" t="e">
        <f t="shared" si="3"/>
        <v>#REF!</v>
      </c>
      <c r="J20" s="52" t="e">
        <f t="shared" si="3"/>
        <v>#REF!</v>
      </c>
      <c r="K20" s="52" t="e">
        <f t="shared" si="3"/>
        <v>#REF!</v>
      </c>
      <c r="L20" s="52" t="e">
        <f t="shared" si="3"/>
        <v>#REF!</v>
      </c>
      <c r="N20" s="52" t="e">
        <f>N6+N13</f>
        <v>#REF!</v>
      </c>
      <c r="O20" s="137"/>
      <c r="Q20" s="136" t="s">
        <v>226</v>
      </c>
      <c r="R20" s="68">
        <v>10</v>
      </c>
      <c r="S20" s="136" t="s">
        <v>227</v>
      </c>
      <c r="T20" s="70"/>
      <c r="V20" s="137" t="s">
        <v>228</v>
      </c>
      <c r="W20" s="60">
        <f>Z17*Z18*Z31</f>
        <v>76800</v>
      </c>
      <c r="Y20" s="136" t="s">
        <v>229</v>
      </c>
      <c r="Z20" s="68">
        <v>12</v>
      </c>
      <c r="AA20" s="70"/>
      <c r="AB20" s="70"/>
    </row>
    <row r="21" spans="1:34">
      <c r="A21" s="49"/>
      <c r="N21" s="52"/>
      <c r="Q21" s="136" t="s">
        <v>230</v>
      </c>
      <c r="R21" s="68">
        <v>2</v>
      </c>
      <c r="S21" s="70"/>
      <c r="T21" s="70"/>
      <c r="W21" s="60"/>
      <c r="Y21" s="139" t="s">
        <v>231</v>
      </c>
      <c r="Z21" s="70">
        <f>24*7/Z20</f>
        <v>14</v>
      </c>
      <c r="AA21" s="70"/>
      <c r="AB21" s="70"/>
    </row>
    <row r="22" spans="1:34">
      <c r="A22" s="49"/>
      <c r="Q22" s="136" t="s">
        <v>232</v>
      </c>
      <c r="R22" s="140">
        <v>0</v>
      </c>
      <c r="S22" s="136" t="s">
        <v>196</v>
      </c>
      <c r="T22" s="70"/>
      <c r="V22" s="137" t="s">
        <v>233</v>
      </c>
      <c r="W22" s="60" t="e">
        <f>Z33*(B90-B88)</f>
        <v>#REF!</v>
      </c>
      <c r="Y22" s="136" t="s">
        <v>234</v>
      </c>
      <c r="Z22" s="68">
        <v>40</v>
      </c>
      <c r="AA22" s="70"/>
      <c r="AB22" s="70"/>
    </row>
    <row r="23" spans="1:34">
      <c r="A23" s="71" t="s">
        <v>235</v>
      </c>
      <c r="E23" s="71" t="s">
        <v>236</v>
      </c>
      <c r="Q23" s="136" t="s">
        <v>237</v>
      </c>
      <c r="R23" s="68">
        <v>0.1</v>
      </c>
      <c r="S23" s="136" t="s">
        <v>238</v>
      </c>
      <c r="T23" s="70"/>
      <c r="V23" s="137" t="s">
        <v>239</v>
      </c>
      <c r="W23" s="60" t="e">
        <f>Z34*(B90-B88)</f>
        <v>#REF!</v>
      </c>
      <c r="Y23" s="136" t="s">
        <v>240</v>
      </c>
      <c r="Z23" s="77">
        <f>ROUND(Z22/Z20,0)</f>
        <v>3</v>
      </c>
      <c r="AA23" s="70"/>
      <c r="AB23" s="70"/>
    </row>
    <row r="24" spans="1:34">
      <c r="A24" s="62" t="s">
        <v>241</v>
      </c>
      <c r="B24" s="140">
        <v>0</v>
      </c>
      <c r="C24" s="136" t="s">
        <v>242</v>
      </c>
      <c r="E24" s="137" t="s">
        <v>29</v>
      </c>
      <c r="F24" s="94" t="e">
        <f>B27+B30</f>
        <v>#REF!</v>
      </c>
      <c r="G24" s="137" t="s">
        <v>243</v>
      </c>
      <c r="H24" s="137" t="s">
        <v>244</v>
      </c>
      <c r="I24" s="55" t="e">
        <f>F24*F25</f>
        <v>#REF!</v>
      </c>
      <c r="J24" s="137" t="s">
        <v>243</v>
      </c>
      <c r="M24" s="71"/>
      <c r="Y24" s="136" t="s">
        <v>245</v>
      </c>
      <c r="Z24" s="77">
        <f>ROUND(Z21/Z23,0)</f>
        <v>5</v>
      </c>
      <c r="AA24" s="70"/>
      <c r="AB24" s="70"/>
    </row>
    <row r="25" spans="1:34">
      <c r="A25" s="62" t="s">
        <v>246</v>
      </c>
      <c r="B25" s="140">
        <v>0.3</v>
      </c>
      <c r="C25" s="136" t="s">
        <v>196</v>
      </c>
      <c r="E25" s="137" t="s">
        <v>247</v>
      </c>
      <c r="F25" s="141">
        <v>0</v>
      </c>
      <c r="G25" s="137" t="s">
        <v>196</v>
      </c>
      <c r="H25" s="137" t="s">
        <v>248</v>
      </c>
      <c r="I25" s="51" t="e">
        <f>(((N18/1000)*(1-(H29*(1/(1-E29)))/1)*((1-E29)/1))-(0.02443*E29))*1000</f>
        <v>#REF!</v>
      </c>
      <c r="J25" s="137" t="s">
        <v>166</v>
      </c>
      <c r="Y25" s="136" t="s">
        <v>249</v>
      </c>
      <c r="Z25" s="77">
        <f>Z24*Z19</f>
        <v>5</v>
      </c>
      <c r="AA25" s="70"/>
      <c r="AB25" s="70"/>
    </row>
    <row r="26" spans="1:34">
      <c r="A26" s="62" t="s">
        <v>250</v>
      </c>
      <c r="B26" s="98" t="e">
        <f>B24*B19*1000</f>
        <v>#REF!</v>
      </c>
      <c r="C26" s="136" t="s">
        <v>243</v>
      </c>
      <c r="Q26" s="71" t="s">
        <v>251</v>
      </c>
      <c r="Y26" s="136" t="s">
        <v>252</v>
      </c>
      <c r="Z26" s="142">
        <v>90000</v>
      </c>
      <c r="AA26" s="70"/>
      <c r="AB26" s="70"/>
      <c r="AC26" s="137"/>
      <c r="AD26" s="137"/>
      <c r="AE26" s="137"/>
      <c r="AF26" s="137"/>
      <c r="AG26" s="137"/>
      <c r="AH26" s="137"/>
    </row>
    <row r="27" spans="1:34">
      <c r="A27" s="62" t="s">
        <v>253</v>
      </c>
      <c r="B27" s="91" t="e">
        <f>(1-G18)*B26</f>
        <v>#REF!</v>
      </c>
      <c r="C27" s="136" t="s">
        <v>243</v>
      </c>
      <c r="D27" s="52"/>
      <c r="E27" s="71" t="s">
        <v>149</v>
      </c>
      <c r="F27" s="49"/>
      <c r="G27" s="49"/>
      <c r="H27" s="198" t="s">
        <v>150</v>
      </c>
      <c r="I27" s="198"/>
      <c r="J27" s="198"/>
      <c r="K27" s="137"/>
      <c r="Q27" s="62" t="s">
        <v>254</v>
      </c>
      <c r="R27" s="62" t="s">
        <v>255</v>
      </c>
      <c r="S27" s="62" t="s">
        <v>256</v>
      </c>
      <c r="T27" s="62" t="s">
        <v>257</v>
      </c>
      <c r="U27" s="62" t="s">
        <v>258</v>
      </c>
      <c r="V27" s="62" t="s">
        <v>259</v>
      </c>
      <c r="W27" s="137"/>
      <c r="Y27" s="70"/>
      <c r="Z27" s="70"/>
      <c r="AA27" s="70"/>
      <c r="AB27" s="70"/>
    </row>
    <row r="28" spans="1:34">
      <c r="A28" s="62" t="s">
        <v>260</v>
      </c>
      <c r="B28" s="98" t="e">
        <f>B26-B27</f>
        <v>#REF!</v>
      </c>
      <c r="C28" s="136" t="s">
        <v>243</v>
      </c>
      <c r="E28" s="62" t="s">
        <v>159</v>
      </c>
      <c r="F28" s="62" t="s">
        <v>160</v>
      </c>
      <c r="G28" s="80" t="s">
        <v>161</v>
      </c>
      <c r="H28" s="62" t="s">
        <v>162</v>
      </c>
      <c r="I28" s="62" t="s">
        <v>163</v>
      </c>
      <c r="J28" s="62" t="s">
        <v>164</v>
      </c>
      <c r="Q28" s="143">
        <v>300</v>
      </c>
      <c r="R28" s="144">
        <f>850</f>
        <v>850</v>
      </c>
      <c r="S28" s="144">
        <v>2</v>
      </c>
      <c r="T28" s="136">
        <f>R28*S28</f>
        <v>1700</v>
      </c>
      <c r="U28" s="136">
        <f t="shared" ref="U28:U43" si="4">T28*$R$18</f>
        <v>2550</v>
      </c>
      <c r="V28" s="136">
        <v>3.4</v>
      </c>
      <c r="Y28" s="136" t="s">
        <v>215</v>
      </c>
      <c r="Z28" s="140">
        <v>0.1</v>
      </c>
      <c r="AA28" s="136" t="s">
        <v>261</v>
      </c>
      <c r="AB28" s="136"/>
    </row>
    <row r="29" spans="1:34">
      <c r="A29" s="62" t="s">
        <v>262</v>
      </c>
      <c r="B29" s="98" t="e">
        <f>B28-B30</f>
        <v>#REF!</v>
      </c>
      <c r="C29" s="136" t="s">
        <v>243</v>
      </c>
      <c r="E29" s="79" t="e">
        <f>(G20-B29)/(G20-B29+H20+I20+J20+K20+L20)</f>
        <v>#REF!</v>
      </c>
      <c r="F29" s="79" t="e">
        <f>H20/(G20-B29+H20+I20+J20+K20+L20)</f>
        <v>#REF!</v>
      </c>
      <c r="G29" s="81" t="e">
        <f>I20/(G20-B29+H20+I20+J20+K20+L20)</f>
        <v>#REF!</v>
      </c>
      <c r="H29" s="82" t="e">
        <f>J20/(G20-B29+H20+I20+J20+K20+L20)</f>
        <v>#REF!</v>
      </c>
      <c r="I29" s="83" t="e">
        <f>K20/(G20-B29+H20+I20+J20+K20+L20)</f>
        <v>#REF!</v>
      </c>
      <c r="J29" s="83" t="e">
        <f>L20/(G20-B29+H20+I20+J20+K20+L20)</f>
        <v>#REF!</v>
      </c>
      <c r="Q29" s="143">
        <v>600</v>
      </c>
      <c r="R29" s="144">
        <f>2*850</f>
        <v>1700</v>
      </c>
      <c r="S29" s="144">
        <v>1.5</v>
      </c>
      <c r="T29" s="136">
        <f t="shared" ref="T29:T43" si="5">R29*S29</f>
        <v>2550</v>
      </c>
      <c r="U29" s="136">
        <f t="shared" si="4"/>
        <v>3825</v>
      </c>
      <c r="V29" s="136">
        <f>2*V28</f>
        <v>6.8</v>
      </c>
      <c r="Y29" s="70"/>
      <c r="Z29" s="70"/>
      <c r="AA29" s="70"/>
      <c r="AB29" s="70"/>
    </row>
    <row r="30" spans="1:34">
      <c r="A30" s="62" t="s">
        <v>263</v>
      </c>
      <c r="B30" s="91" t="e">
        <f>B27/B25-B27</f>
        <v>#REF!</v>
      </c>
      <c r="C30" s="136" t="s">
        <v>243</v>
      </c>
      <c r="E30" s="70"/>
      <c r="F30" s="70"/>
      <c r="G30" s="80" t="s">
        <v>264</v>
      </c>
      <c r="H30" s="194" t="e">
        <f>SUM(H29:J29)</f>
        <v>#REF!</v>
      </c>
      <c r="I30" s="195"/>
      <c r="J30" s="195"/>
      <c r="Q30" s="143">
        <v>900</v>
      </c>
      <c r="R30" s="144">
        <f>3*850</f>
        <v>2550</v>
      </c>
      <c r="S30" s="144">
        <v>1.5</v>
      </c>
      <c r="T30" s="136">
        <f t="shared" si="5"/>
        <v>3825</v>
      </c>
      <c r="U30" s="136">
        <f t="shared" si="4"/>
        <v>5737.5</v>
      </c>
      <c r="V30" s="136">
        <v>15</v>
      </c>
      <c r="Y30" s="136" t="s">
        <v>265</v>
      </c>
      <c r="Z30" s="145" t="e">
        <f>50+75*E63/1000+175*B36/5000</f>
        <v>#REF!</v>
      </c>
      <c r="AA30" s="136" t="s">
        <v>266</v>
      </c>
      <c r="AB30" s="70"/>
    </row>
    <row r="31" spans="1:34">
      <c r="Q31" s="143">
        <v>1000</v>
      </c>
      <c r="R31" s="144">
        <f>2500</f>
        <v>2500</v>
      </c>
      <c r="S31" s="144">
        <v>2</v>
      </c>
      <c r="T31" s="136">
        <f t="shared" si="5"/>
        <v>5000</v>
      </c>
      <c r="U31" s="136">
        <f t="shared" si="4"/>
        <v>7500</v>
      </c>
      <c r="V31" s="136">
        <v>15</v>
      </c>
      <c r="Y31" s="136" t="s">
        <v>228</v>
      </c>
      <c r="Z31" s="68">
        <v>10</v>
      </c>
      <c r="AA31" s="136" t="s">
        <v>267</v>
      </c>
      <c r="AB31" s="70"/>
    </row>
    <row r="32" spans="1:34">
      <c r="A32" s="71" t="s">
        <v>268</v>
      </c>
      <c r="Q32" s="143">
        <v>1300</v>
      </c>
      <c r="R32" s="144">
        <f>(850+2500)</f>
        <v>3350</v>
      </c>
      <c r="S32" s="144">
        <v>1.5</v>
      </c>
      <c r="T32" s="136">
        <f t="shared" si="5"/>
        <v>5025</v>
      </c>
      <c r="U32" s="136">
        <f t="shared" si="4"/>
        <v>7537.5</v>
      </c>
      <c r="V32" s="136">
        <f>V31+V28</f>
        <v>18.399999999999999</v>
      </c>
      <c r="Y32" s="70"/>
      <c r="Z32" s="70"/>
      <c r="AA32" s="70"/>
      <c r="AB32" s="70"/>
      <c r="AE32" s="101"/>
    </row>
    <row r="33" spans="1:28">
      <c r="A33" s="62" t="s">
        <v>269</v>
      </c>
      <c r="B33" s="140">
        <v>0</v>
      </c>
      <c r="C33" s="136" t="s">
        <v>270</v>
      </c>
      <c r="E33" s="71" t="s">
        <v>271</v>
      </c>
      <c r="M33" s="71" t="s">
        <v>272</v>
      </c>
      <c r="Q33" s="143">
        <v>1600</v>
      </c>
      <c r="R33" s="144">
        <f>(850*2+2500)</f>
        <v>4200</v>
      </c>
      <c r="S33" s="144">
        <v>1.5</v>
      </c>
      <c r="T33" s="136">
        <f t="shared" si="5"/>
        <v>6300</v>
      </c>
      <c r="U33" s="136">
        <f t="shared" si="4"/>
        <v>9450</v>
      </c>
      <c r="V33" s="136">
        <f>V31+V29</f>
        <v>21.8</v>
      </c>
      <c r="Y33" s="136" t="s">
        <v>233</v>
      </c>
      <c r="Z33" s="140">
        <v>0.03</v>
      </c>
      <c r="AA33" s="136" t="s">
        <v>273</v>
      </c>
      <c r="AB33" s="70"/>
    </row>
    <row r="34" spans="1:28">
      <c r="A34" s="62" t="s">
        <v>269</v>
      </c>
      <c r="B34" s="93" t="e">
        <f>IF(F24&gt;0,B33*F24,B33*B19*1000)</f>
        <v>#REF!</v>
      </c>
      <c r="C34" s="136" t="s">
        <v>243</v>
      </c>
      <c r="E34" s="137" t="s">
        <v>29</v>
      </c>
      <c r="F34" s="94" t="e">
        <f>B34-B37</f>
        <v>#REF!</v>
      </c>
      <c r="G34" s="137" t="s">
        <v>243</v>
      </c>
      <c r="H34" s="137" t="s">
        <v>244</v>
      </c>
      <c r="I34" s="55" t="e">
        <f>F34*F35</f>
        <v>#REF!</v>
      </c>
      <c r="J34" s="137" t="s">
        <v>243</v>
      </c>
      <c r="M34" s="62" t="s">
        <v>274</v>
      </c>
      <c r="N34" s="68">
        <v>0</v>
      </c>
      <c r="O34" s="136" t="s">
        <v>275</v>
      </c>
      <c r="Q34" s="143">
        <v>1900</v>
      </c>
      <c r="R34" s="144">
        <f>2*2500</f>
        <v>5000</v>
      </c>
      <c r="S34" s="144">
        <v>1.5</v>
      </c>
      <c r="T34" s="136">
        <f t="shared" si="5"/>
        <v>7500</v>
      </c>
      <c r="U34" s="136">
        <f t="shared" si="4"/>
        <v>11250</v>
      </c>
      <c r="V34" s="136">
        <f>2*V31</f>
        <v>30</v>
      </c>
      <c r="Y34" s="136" t="s">
        <v>239</v>
      </c>
      <c r="Z34" s="140">
        <v>0.03</v>
      </c>
      <c r="AA34" s="136" t="s">
        <v>273</v>
      </c>
      <c r="AB34" s="70"/>
    </row>
    <row r="35" spans="1:28">
      <c r="A35" s="62" t="s">
        <v>276</v>
      </c>
      <c r="B35" s="140">
        <v>0.9</v>
      </c>
      <c r="C35" s="136" t="s">
        <v>196</v>
      </c>
      <c r="E35" s="137" t="s">
        <v>247</v>
      </c>
      <c r="F35" s="141">
        <v>0</v>
      </c>
      <c r="G35" s="137" t="s">
        <v>196</v>
      </c>
      <c r="H35" s="137" t="s">
        <v>248</v>
      </c>
      <c r="I35" s="51" t="e">
        <f>(((N18/1000)*(1-(H39*(1/(1-E39)))/1)*((1-E39)/1))-(0.02443*E39))*1000</f>
        <v>#REF!</v>
      </c>
      <c r="J35" s="137" t="s">
        <v>166</v>
      </c>
      <c r="M35" s="62" t="s">
        <v>277</v>
      </c>
      <c r="N35" s="140">
        <v>0.85</v>
      </c>
      <c r="O35" s="136" t="s">
        <v>196</v>
      </c>
      <c r="Q35" s="143">
        <v>2000</v>
      </c>
      <c r="R35" s="144">
        <f>2*2500</f>
        <v>5000</v>
      </c>
      <c r="S35" s="144">
        <v>1.5</v>
      </c>
      <c r="T35" s="136">
        <f t="shared" si="5"/>
        <v>7500</v>
      </c>
      <c r="U35" s="136">
        <f t="shared" si="4"/>
        <v>11250</v>
      </c>
      <c r="V35" s="136">
        <f>2*V31</f>
        <v>30</v>
      </c>
    </row>
    <row r="36" spans="1:28">
      <c r="A36" s="62" t="s">
        <v>260</v>
      </c>
      <c r="B36" s="91" t="e">
        <f>E29*B34</f>
        <v>#REF!</v>
      </c>
      <c r="C36" s="136" t="s">
        <v>243</v>
      </c>
      <c r="M36" s="62" t="s">
        <v>278</v>
      </c>
      <c r="N36" s="68">
        <v>120</v>
      </c>
      <c r="O36" s="136" t="s">
        <v>279</v>
      </c>
      <c r="Q36" s="143">
        <v>2300</v>
      </c>
      <c r="R36" s="144">
        <f>2*2500+850</f>
        <v>5850</v>
      </c>
      <c r="S36" s="144">
        <v>1.5</v>
      </c>
      <c r="T36" s="136">
        <f t="shared" si="5"/>
        <v>8775</v>
      </c>
      <c r="U36" s="136">
        <f t="shared" si="4"/>
        <v>13162.5</v>
      </c>
      <c r="V36" s="136">
        <f>V35+V28</f>
        <v>33.4</v>
      </c>
    </row>
    <row r="37" spans="1:28">
      <c r="A37" s="62" t="s">
        <v>262</v>
      </c>
      <c r="B37" s="92" t="e">
        <f>B35*B36</f>
        <v>#REF!</v>
      </c>
      <c r="C37" s="136" t="s">
        <v>243</v>
      </c>
      <c r="E37" s="71" t="s">
        <v>149</v>
      </c>
      <c r="F37" s="49"/>
      <c r="G37" s="49"/>
      <c r="H37" s="198" t="s">
        <v>150</v>
      </c>
      <c r="I37" s="198"/>
      <c r="J37" s="198"/>
      <c r="M37" s="62" t="s">
        <v>280</v>
      </c>
      <c r="N37" s="70">
        <v>1</v>
      </c>
      <c r="O37" s="136" t="s">
        <v>173</v>
      </c>
      <c r="Q37" s="143">
        <v>2600</v>
      </c>
      <c r="R37" s="144">
        <f>2*2500+2*850</f>
        <v>6700</v>
      </c>
      <c r="S37" s="144">
        <v>1.5</v>
      </c>
      <c r="T37" s="136">
        <f t="shared" si="5"/>
        <v>10050</v>
      </c>
      <c r="U37" s="136">
        <f t="shared" si="4"/>
        <v>15075</v>
      </c>
      <c r="V37" s="136">
        <f>V35+V29</f>
        <v>36.799999999999997</v>
      </c>
    </row>
    <row r="38" spans="1:28">
      <c r="A38" s="62" t="s">
        <v>263</v>
      </c>
      <c r="B38" s="91" t="e">
        <f>B36-B37</f>
        <v>#REF!</v>
      </c>
      <c r="C38" s="136" t="s">
        <v>243</v>
      </c>
      <c r="E38" s="62" t="s">
        <v>159</v>
      </c>
      <c r="F38" s="62" t="s">
        <v>160</v>
      </c>
      <c r="G38" s="80" t="s">
        <v>161</v>
      </c>
      <c r="H38" s="62" t="s">
        <v>162</v>
      </c>
      <c r="I38" s="62" t="s">
        <v>163</v>
      </c>
      <c r="J38" s="62" t="s">
        <v>164</v>
      </c>
      <c r="M38" s="62" t="s">
        <v>281</v>
      </c>
      <c r="N38" s="96">
        <f>IFERROR(((850-N36)*(E63-E66-E68+F66)*N37+(2260*F68*N34))/1000/1000*N35*(1-MAX(B49,B48)),0)</f>
        <v>0</v>
      </c>
      <c r="O38" s="136" t="s">
        <v>282</v>
      </c>
      <c r="Q38" s="66">
        <v>2900</v>
      </c>
      <c r="R38" s="144">
        <f>3*2500</f>
        <v>7500</v>
      </c>
      <c r="S38" s="144">
        <v>1.5</v>
      </c>
      <c r="T38" s="136">
        <f t="shared" si="5"/>
        <v>11250</v>
      </c>
      <c r="U38" s="136">
        <f t="shared" si="4"/>
        <v>16875</v>
      </c>
      <c r="V38" s="136">
        <v>45</v>
      </c>
      <c r="Y38" s="71" t="s">
        <v>283</v>
      </c>
    </row>
    <row r="39" spans="1:28">
      <c r="A39" s="62" t="s">
        <v>265</v>
      </c>
      <c r="B39" s="67" t="e">
        <f>B37*R11/1000/1000</f>
        <v>#REF!</v>
      </c>
      <c r="C39" s="136" t="s">
        <v>282</v>
      </c>
      <c r="E39" s="79">
        <f>IFERROR(B38/F34,0)</f>
        <v>0</v>
      </c>
      <c r="F39" s="79">
        <f>IFERROR(B33*H20/F34,0)</f>
        <v>0</v>
      </c>
      <c r="G39" s="81">
        <f>IFERROR(B33*I20/F34,0)</f>
        <v>0</v>
      </c>
      <c r="H39" s="82">
        <f>IFERROR(B33*J20/F34,0)</f>
        <v>0</v>
      </c>
      <c r="I39" s="83">
        <f>IFERROR(B33*K18/F34,0)</f>
        <v>0</v>
      </c>
      <c r="J39" s="83">
        <f>IFERROR(B33*L18/F34,0)</f>
        <v>0</v>
      </c>
      <c r="M39" s="62" t="s">
        <v>284</v>
      </c>
      <c r="N39" s="72" t="e">
        <f>N35*B51</f>
        <v>#REF!</v>
      </c>
      <c r="O39" s="136" t="s">
        <v>282</v>
      </c>
      <c r="Q39" s="66">
        <v>3000</v>
      </c>
      <c r="R39" s="144">
        <f>3*2500</f>
        <v>7500</v>
      </c>
      <c r="S39" s="144">
        <v>1.5</v>
      </c>
      <c r="T39" s="136">
        <f t="shared" si="5"/>
        <v>11250</v>
      </c>
      <c r="U39" s="136">
        <f t="shared" si="4"/>
        <v>16875</v>
      </c>
      <c r="V39" s="136">
        <v>45</v>
      </c>
      <c r="Z39" s="49" t="s">
        <v>285</v>
      </c>
    </row>
    <row r="40" spans="1:28">
      <c r="A40" s="62" t="s">
        <v>286</v>
      </c>
      <c r="B40" s="146" t="e">
        <f>((B44-B43)/(H66-B43))*B42</f>
        <v>#REF!</v>
      </c>
      <c r="C40" s="136" t="s">
        <v>243</v>
      </c>
      <c r="E40" s="70"/>
      <c r="F40" s="70"/>
      <c r="G40" s="80" t="s">
        <v>264</v>
      </c>
      <c r="H40" s="194">
        <f>SUM(H39:J39)</f>
        <v>0</v>
      </c>
      <c r="I40" s="195"/>
      <c r="J40" s="195"/>
      <c r="Q40" s="66">
        <v>3300</v>
      </c>
      <c r="R40" s="144">
        <f>3*2500+850</f>
        <v>8350</v>
      </c>
      <c r="S40" s="144">
        <v>1.5</v>
      </c>
      <c r="T40" s="136">
        <f t="shared" si="5"/>
        <v>12525</v>
      </c>
      <c r="U40" s="136">
        <f t="shared" si="4"/>
        <v>18787.5</v>
      </c>
      <c r="V40" s="136">
        <f>V39+V28</f>
        <v>48.4</v>
      </c>
      <c r="Y40" s="137" t="s">
        <v>287</v>
      </c>
      <c r="Z40" s="129">
        <v>0</v>
      </c>
    </row>
    <row r="41" spans="1:28">
      <c r="A41" s="49" t="s">
        <v>288</v>
      </c>
      <c r="B41" s="147" t="e">
        <f>(1-((B44-B46)/(H66-B46)))*B42</f>
        <v>#REF!</v>
      </c>
      <c r="C41" s="136" t="s">
        <v>243</v>
      </c>
      <c r="M41" s="71" t="s">
        <v>289</v>
      </c>
      <c r="Q41" s="66">
        <v>3600</v>
      </c>
      <c r="R41" s="144">
        <f>3*2500+2*850</f>
        <v>9200</v>
      </c>
      <c r="S41" s="144">
        <v>1.5</v>
      </c>
      <c r="T41" s="136">
        <f t="shared" si="5"/>
        <v>13800</v>
      </c>
      <c r="U41" s="136">
        <f t="shared" si="4"/>
        <v>20700</v>
      </c>
      <c r="V41" s="136">
        <f>V39+V29</f>
        <v>51.8</v>
      </c>
      <c r="Y41" s="137" t="s">
        <v>235</v>
      </c>
      <c r="Z41" s="129" t="e">
        <f>U62*1000</f>
        <v>#REF!</v>
      </c>
    </row>
    <row r="42" spans="1:28">
      <c r="A42" s="62" t="s">
        <v>290</v>
      </c>
      <c r="B42" s="147" t="e">
        <f>B47</f>
        <v>#REF!</v>
      </c>
      <c r="C42" s="136" t="s">
        <v>243</v>
      </c>
      <c r="E42" s="71" t="s">
        <v>291</v>
      </c>
      <c r="M42" s="136" t="s">
        <v>292</v>
      </c>
      <c r="N42" s="68">
        <v>0</v>
      </c>
      <c r="O42" s="136" t="s">
        <v>293</v>
      </c>
      <c r="Q42" s="66">
        <v>3900</v>
      </c>
      <c r="R42" s="144">
        <f>4*2500</f>
        <v>10000</v>
      </c>
      <c r="S42" s="144">
        <v>1.5</v>
      </c>
      <c r="T42" s="136">
        <f t="shared" si="5"/>
        <v>15000</v>
      </c>
      <c r="U42" s="136">
        <f t="shared" si="4"/>
        <v>22500</v>
      </c>
      <c r="V42" s="136">
        <f>4*15</f>
        <v>60</v>
      </c>
      <c r="Y42" s="137" t="s">
        <v>268</v>
      </c>
      <c r="Z42" s="59" cm="1">
        <f t="array" ref="Z42">IF(AND(B33&gt;0,B35&gt;0),IFERROR(INDEX(Q48:U57,MATCH(B37,Q48:Q57,1)+1,5)*1000,U48*1000),0)</f>
        <v>0</v>
      </c>
    </row>
    <row r="43" spans="1:28">
      <c r="A43" s="62" t="s">
        <v>294</v>
      </c>
      <c r="B43" s="68">
        <v>120</v>
      </c>
      <c r="C43" s="136" t="s">
        <v>279</v>
      </c>
      <c r="E43" s="137" t="s">
        <v>29</v>
      </c>
      <c r="F43" s="94" t="e">
        <f>B19*1000-MAX(B26,B34)</f>
        <v>#REF!</v>
      </c>
      <c r="G43" s="137" t="s">
        <v>243</v>
      </c>
      <c r="H43" s="137" t="s">
        <v>244</v>
      </c>
      <c r="I43" s="55" t="e">
        <f>F43*F44</f>
        <v>#REF!</v>
      </c>
      <c r="J43" s="137" t="s">
        <v>243</v>
      </c>
      <c r="M43" s="136" t="s">
        <v>295</v>
      </c>
      <c r="N43" s="140">
        <v>0.3</v>
      </c>
      <c r="O43" s="136" t="s">
        <v>196</v>
      </c>
      <c r="Q43" s="66">
        <v>4000</v>
      </c>
      <c r="R43" s="144">
        <f>4*2500</f>
        <v>10000</v>
      </c>
      <c r="S43" s="144">
        <v>1.5</v>
      </c>
      <c r="T43" s="136">
        <f t="shared" si="5"/>
        <v>15000</v>
      </c>
      <c r="U43" s="136">
        <f t="shared" si="4"/>
        <v>22500</v>
      </c>
      <c r="V43" s="136">
        <v>60</v>
      </c>
      <c r="Y43" s="137" t="s">
        <v>296</v>
      </c>
      <c r="Z43" s="59" t="e" cm="1">
        <f t="array" ref="Z43">IF(E63=0,0,IFERROR(INDEX(Q28:U43,MATCH(E63,Q28:Q43,1)+1,5)*1000,U28*1000))</f>
        <v>#REF!</v>
      </c>
    </row>
    <row r="44" spans="1:28" ht="16.5">
      <c r="A44" s="62" t="s">
        <v>297</v>
      </c>
      <c r="B44" s="68">
        <v>530</v>
      </c>
      <c r="C44" s="136" t="s">
        <v>279</v>
      </c>
      <c r="E44" s="137" t="s">
        <v>247</v>
      </c>
      <c r="F44" s="141">
        <v>0</v>
      </c>
      <c r="G44" s="137"/>
      <c r="H44" s="137" t="s">
        <v>248</v>
      </c>
      <c r="I44" s="51" t="e">
        <f>(((N18/1000)*(1-(H48*(1/(1-E48)))/1)*((1-E48)/1))-(0.02443*E48))*1000</f>
        <v>#REF!</v>
      </c>
      <c r="J44" s="137" t="s">
        <v>166</v>
      </c>
      <c r="M44" s="136" t="s">
        <v>298</v>
      </c>
      <c r="N44" s="72">
        <f>N38*N43*N42*1000*1000/3600</f>
        <v>0</v>
      </c>
      <c r="O44" s="70"/>
      <c r="W44" s="53"/>
      <c r="Y44" s="137" t="s">
        <v>289</v>
      </c>
      <c r="Z44" s="59">
        <f>N44*R17</f>
        <v>0</v>
      </c>
    </row>
    <row r="45" spans="1:28" ht="16.5">
      <c r="W45" s="53"/>
      <c r="Y45" s="137" t="s">
        <v>182</v>
      </c>
      <c r="Z45" s="59" t="e">
        <f>B6*R16+B13*R16+B20*R16</f>
        <v>#REF!</v>
      </c>
      <c r="AA45" s="137"/>
    </row>
    <row r="46" spans="1:28" ht="16.5">
      <c r="A46" s="62" t="s">
        <v>299</v>
      </c>
      <c r="B46" s="68">
        <v>120</v>
      </c>
      <c r="C46" s="136" t="s">
        <v>279</v>
      </c>
      <c r="E46" s="71" t="s">
        <v>149</v>
      </c>
      <c r="F46" s="49"/>
      <c r="G46" s="49"/>
      <c r="H46" s="198" t="s">
        <v>150</v>
      </c>
      <c r="I46" s="198"/>
      <c r="J46" s="198"/>
      <c r="Q46" s="71" t="s">
        <v>300</v>
      </c>
      <c r="R46" s="61"/>
      <c r="S46" s="61"/>
      <c r="T46" s="61"/>
      <c r="U46" s="61"/>
      <c r="W46" s="53"/>
      <c r="Y46" s="137" t="s">
        <v>301</v>
      </c>
      <c r="Z46" s="129">
        <v>0</v>
      </c>
    </row>
    <row r="47" spans="1:28" ht="16.5">
      <c r="A47" s="62" t="s">
        <v>302</v>
      </c>
      <c r="B47" s="91" t="e">
        <f>(B39*1000*1000)/((B44-B46)*R4)</f>
        <v>#REF!</v>
      </c>
      <c r="C47" s="136" t="s">
        <v>243</v>
      </c>
      <c r="E47" s="62" t="s">
        <v>159</v>
      </c>
      <c r="F47" s="62" t="s">
        <v>160</v>
      </c>
      <c r="G47" s="80" t="s">
        <v>161</v>
      </c>
      <c r="H47" s="62" t="s">
        <v>162</v>
      </c>
      <c r="I47" s="62" t="s">
        <v>163</v>
      </c>
      <c r="J47" s="62" t="s">
        <v>164</v>
      </c>
      <c r="M47" s="71" t="s">
        <v>303</v>
      </c>
      <c r="Q47" s="62" t="s">
        <v>304</v>
      </c>
      <c r="R47" s="63" t="s">
        <v>305</v>
      </c>
      <c r="S47" s="62" t="s">
        <v>256</v>
      </c>
      <c r="T47" s="64" t="s">
        <v>257</v>
      </c>
      <c r="U47" s="64" t="s">
        <v>258</v>
      </c>
      <c r="W47" s="53"/>
      <c r="Y47" s="137" t="s">
        <v>306</v>
      </c>
      <c r="Z47" s="129">
        <v>0</v>
      </c>
    </row>
    <row r="48" spans="1:28" ht="16.5">
      <c r="A48" s="62" t="s">
        <v>307</v>
      </c>
      <c r="B48" s="69" t="e">
        <f>B39/(I63+J63)</f>
        <v>#REF!</v>
      </c>
      <c r="C48" s="136" t="s">
        <v>196</v>
      </c>
      <c r="E48" s="79" t="e">
        <f t="shared" ref="E48:J48" si="6">G18</f>
        <v>#REF!</v>
      </c>
      <c r="F48" s="79" t="e">
        <f t="shared" si="6"/>
        <v>#REF!</v>
      </c>
      <c r="G48" s="81" t="e">
        <f t="shared" si="6"/>
        <v>#REF!</v>
      </c>
      <c r="H48" s="82" t="e">
        <f t="shared" si="6"/>
        <v>#REF!</v>
      </c>
      <c r="I48" s="83" t="e">
        <f t="shared" si="6"/>
        <v>#REF!</v>
      </c>
      <c r="J48" s="83" t="e">
        <f t="shared" si="6"/>
        <v>#REF!</v>
      </c>
      <c r="M48" s="136" t="s">
        <v>292</v>
      </c>
      <c r="N48" s="68">
        <v>0</v>
      </c>
      <c r="O48" s="136" t="s">
        <v>293</v>
      </c>
      <c r="Q48" s="136">
        <v>1000</v>
      </c>
      <c r="R48" s="122">
        <f>950</f>
        <v>950</v>
      </c>
      <c r="S48" s="144">
        <v>1.1000000000000001</v>
      </c>
      <c r="T48" s="65">
        <f>R48*S48</f>
        <v>1045</v>
      </c>
      <c r="U48" s="65">
        <f t="shared" ref="U48:U57" si="7">T48*$R$18</f>
        <v>1567.5</v>
      </c>
      <c r="W48" s="53"/>
      <c r="X48" s="53"/>
      <c r="Y48" s="137" t="s">
        <v>308</v>
      </c>
      <c r="Z48" s="129">
        <v>0</v>
      </c>
      <c r="AB48" s="42"/>
    </row>
    <row r="49" spans="1:28" ht="16.5">
      <c r="A49" s="62" t="s">
        <v>309</v>
      </c>
      <c r="B49" s="138" t="e">
        <f>B40/(E63-E66-E68+F66)</f>
        <v>#REF!</v>
      </c>
      <c r="C49" s="136" t="s">
        <v>196</v>
      </c>
      <c r="E49" s="70"/>
      <c r="F49" s="70"/>
      <c r="G49" s="80" t="s">
        <v>264</v>
      </c>
      <c r="H49" s="194" t="e">
        <f>SUM(H48:J48)</f>
        <v>#REF!</v>
      </c>
      <c r="I49" s="195"/>
      <c r="J49" s="195"/>
      <c r="M49" s="136" t="s">
        <v>277</v>
      </c>
      <c r="N49" s="140">
        <v>1</v>
      </c>
      <c r="O49" s="136" t="s">
        <v>196</v>
      </c>
      <c r="Q49" s="136">
        <v>2000</v>
      </c>
      <c r="R49" s="122">
        <f>2*950</f>
        <v>1900</v>
      </c>
      <c r="S49" s="144">
        <v>1.1000000000000001</v>
      </c>
      <c r="T49" s="65">
        <f t="shared" ref="T49:T57" si="8">R49*S49</f>
        <v>2090</v>
      </c>
      <c r="U49" s="65">
        <f t="shared" si="7"/>
        <v>3135</v>
      </c>
      <c r="V49" s="54"/>
      <c r="W49" s="53"/>
      <c r="X49" s="53"/>
      <c r="Y49" s="137" t="s">
        <v>310</v>
      </c>
      <c r="Z49" s="129">
        <v>0</v>
      </c>
      <c r="AB49" s="42"/>
    </row>
    <row r="50" spans="1:28" ht="16.5">
      <c r="A50" s="62" t="s">
        <v>311</v>
      </c>
      <c r="B50" s="70" t="e">
        <f>B44-(B39*1000*1000/((R4*B42)))</f>
        <v>#REF!</v>
      </c>
      <c r="C50" s="136" t="s">
        <v>279</v>
      </c>
      <c r="M50" s="136" t="s">
        <v>28</v>
      </c>
      <c r="N50" s="148">
        <v>1000000</v>
      </c>
      <c r="O50" s="136" t="s">
        <v>312</v>
      </c>
      <c r="Q50" s="136">
        <v>3000</v>
      </c>
      <c r="R50" s="122">
        <v>2750</v>
      </c>
      <c r="S50" s="144">
        <v>1.1000000000000001</v>
      </c>
      <c r="T50" s="65">
        <f t="shared" si="8"/>
        <v>3025.0000000000005</v>
      </c>
      <c r="U50" s="65">
        <f t="shared" si="7"/>
        <v>4537.5000000000009</v>
      </c>
      <c r="V50" s="53"/>
      <c r="W50" s="53"/>
      <c r="X50" s="53"/>
      <c r="Y50" s="137" t="s">
        <v>313</v>
      </c>
      <c r="Z50" s="129">
        <v>0</v>
      </c>
      <c r="AB50" s="42"/>
    </row>
    <row r="51" spans="1:28" ht="16.5">
      <c r="A51" s="62" t="s">
        <v>314</v>
      </c>
      <c r="B51" s="67" t="e">
        <f>I63+J63-B39</f>
        <v>#REF!</v>
      </c>
      <c r="C51" s="136" t="s">
        <v>282</v>
      </c>
      <c r="Q51" s="136">
        <v>4000</v>
      </c>
      <c r="R51" s="122">
        <v>2750</v>
      </c>
      <c r="S51" s="144">
        <v>1.1000000000000001</v>
      </c>
      <c r="T51" s="65">
        <f t="shared" si="8"/>
        <v>3025.0000000000005</v>
      </c>
      <c r="U51" s="65">
        <f t="shared" si="7"/>
        <v>4537.5000000000009</v>
      </c>
      <c r="V51" s="54"/>
      <c r="W51" s="53"/>
      <c r="X51" s="53"/>
      <c r="Y51" s="137" t="s">
        <v>315</v>
      </c>
      <c r="Z51" s="129" t="e">
        <f>-R22*(Z42+Z43)</f>
        <v>#REF!</v>
      </c>
    </row>
    <row r="52" spans="1:28" ht="16.5">
      <c r="D52" s="137"/>
      <c r="E52" s="71" t="s">
        <v>316</v>
      </c>
      <c r="Q52" s="136">
        <v>5000</v>
      </c>
      <c r="R52" s="122">
        <v>2750</v>
      </c>
      <c r="S52" s="144">
        <v>1.1000000000000001</v>
      </c>
      <c r="T52" s="65">
        <f t="shared" si="8"/>
        <v>3025.0000000000005</v>
      </c>
      <c r="U52" s="65">
        <f t="shared" si="7"/>
        <v>4537.5000000000009</v>
      </c>
      <c r="V52" s="54"/>
      <c r="W52" s="53"/>
      <c r="X52" s="53"/>
    </row>
    <row r="53" spans="1:28" ht="16.5">
      <c r="M53" s="71" t="s">
        <v>317</v>
      </c>
      <c r="Q53" s="136">
        <v>6000</v>
      </c>
      <c r="R53" s="122">
        <f>2750+950</f>
        <v>3700</v>
      </c>
      <c r="S53" s="144">
        <v>1.1000000000000001</v>
      </c>
      <c r="T53" s="65">
        <f t="shared" si="8"/>
        <v>4070.0000000000005</v>
      </c>
      <c r="U53" s="65">
        <f t="shared" si="7"/>
        <v>6105.0000000000009</v>
      </c>
      <c r="V53" s="54"/>
      <c r="W53" s="53"/>
      <c r="X53" s="53"/>
    </row>
    <row r="54" spans="1:28" ht="16.5">
      <c r="M54" s="62" t="s">
        <v>318</v>
      </c>
      <c r="N54" s="68">
        <v>1</v>
      </c>
      <c r="O54" s="136" t="s">
        <v>275</v>
      </c>
      <c r="Q54" s="136">
        <v>7000</v>
      </c>
      <c r="R54" s="122">
        <f>2750+2*950</f>
        <v>4650</v>
      </c>
      <c r="S54" s="144">
        <v>1.1000000000000001</v>
      </c>
      <c r="T54" s="65">
        <f t="shared" si="8"/>
        <v>5115</v>
      </c>
      <c r="U54" s="65">
        <f t="shared" si="7"/>
        <v>7672.5</v>
      </c>
      <c r="V54" s="54"/>
      <c r="W54" s="53"/>
      <c r="X54" s="53"/>
    </row>
    <row r="55" spans="1:28" ht="16.5">
      <c r="E55" s="71" t="s">
        <v>149</v>
      </c>
      <c r="F55" s="49"/>
      <c r="G55" s="49"/>
      <c r="H55" s="198" t="s">
        <v>150</v>
      </c>
      <c r="I55" s="198"/>
      <c r="J55" s="198"/>
      <c r="M55" s="62" t="s">
        <v>319</v>
      </c>
      <c r="N55" s="91" t="e">
        <f>B37+E57*E63</f>
        <v>#REF!</v>
      </c>
      <c r="O55" s="136" t="s">
        <v>243</v>
      </c>
      <c r="Q55" s="136">
        <v>8000</v>
      </c>
      <c r="R55" s="122">
        <f>2*2750</f>
        <v>5500</v>
      </c>
      <c r="S55" s="144">
        <v>1.1000000000000001</v>
      </c>
      <c r="T55" s="65">
        <f t="shared" si="8"/>
        <v>6050.0000000000009</v>
      </c>
      <c r="U55" s="65">
        <f t="shared" si="7"/>
        <v>9075.0000000000018</v>
      </c>
      <c r="V55" s="53"/>
      <c r="W55" s="53"/>
      <c r="X55" s="53"/>
    </row>
    <row r="56" spans="1:28" ht="16.5">
      <c r="E56" s="62" t="s">
        <v>159</v>
      </c>
      <c r="F56" s="62" t="s">
        <v>160</v>
      </c>
      <c r="G56" s="80" t="s">
        <v>161</v>
      </c>
      <c r="H56" s="62" t="s">
        <v>162</v>
      </c>
      <c r="I56" s="62" t="s">
        <v>163</v>
      </c>
      <c r="J56" s="62" t="s">
        <v>164</v>
      </c>
      <c r="M56" s="62" t="s">
        <v>320</v>
      </c>
      <c r="N56" s="68">
        <v>1.5</v>
      </c>
      <c r="O56" s="136" t="s">
        <v>321</v>
      </c>
      <c r="Q56" s="136">
        <v>9000</v>
      </c>
      <c r="R56" s="122">
        <f t="shared" ref="R56:R57" si="9">2*2750</f>
        <v>5500</v>
      </c>
      <c r="S56" s="144">
        <v>1.1000000000000001</v>
      </c>
      <c r="T56" s="65">
        <f t="shared" si="8"/>
        <v>6050.0000000000009</v>
      </c>
      <c r="U56" s="65">
        <f t="shared" si="7"/>
        <v>9075.0000000000018</v>
      </c>
      <c r="V56" s="54"/>
      <c r="W56" s="53"/>
      <c r="X56" s="53"/>
    </row>
    <row r="57" spans="1:28" ht="16.5">
      <c r="E57" s="95">
        <f>IFERROR(((F34-I34)*E39+(F43*E48)+((F24-I24)*E29))/(F34-I34+F43+F24-I24),0)</f>
        <v>0</v>
      </c>
      <c r="F57" s="79">
        <f>IFERROR(((F34-I34)*F39+(F43*F48)+((F24-I24)*F29))/(F34-I34+F43+F24-I24),0)</f>
        <v>0</v>
      </c>
      <c r="G57" s="81">
        <f>IFERROR(((F34-I34)*G39+(F43*G48)+((F24-I24)*G29))/(F34-I34+F43+F24-I24),0)</f>
        <v>0</v>
      </c>
      <c r="H57" s="82">
        <f>IFERROR(((F34-I34)*H39+(F43*H48)+((F24-I24)*H29))/(F34-I34+F43+F24-I24),0)</f>
        <v>0</v>
      </c>
      <c r="I57" s="83">
        <f>IFERROR(((F34-I34)*I39+(F43*I48)+((F24-I24)*I29))/(F34-I34+F43+F24-I24),0)</f>
        <v>0</v>
      </c>
      <c r="J57" s="83">
        <f>IFERROR(((F34-I34)*J39+(F43*J48)+((F24-I24)*J29))/(F34-I34+F43+F24-I24),0)</f>
        <v>0</v>
      </c>
      <c r="M57" s="62" t="s">
        <v>320</v>
      </c>
      <c r="N57" s="68">
        <v>2.2000000000000002</v>
      </c>
      <c r="O57" s="136" t="s">
        <v>322</v>
      </c>
      <c r="Q57" s="136">
        <v>10000</v>
      </c>
      <c r="R57" s="122">
        <f t="shared" si="9"/>
        <v>5500</v>
      </c>
      <c r="S57" s="144">
        <v>1.1000000000000001</v>
      </c>
      <c r="T57" s="65">
        <f t="shared" si="8"/>
        <v>6050.0000000000009</v>
      </c>
      <c r="U57" s="65">
        <f t="shared" si="7"/>
        <v>9075.0000000000018</v>
      </c>
      <c r="V57" s="54"/>
      <c r="W57" s="53"/>
      <c r="X57" s="53"/>
    </row>
    <row r="58" spans="1:28" ht="16.5">
      <c r="E58" s="70"/>
      <c r="F58" s="70"/>
      <c r="G58" s="80" t="s">
        <v>264</v>
      </c>
      <c r="H58" s="194">
        <f>SUM(H57:J57)</f>
        <v>0</v>
      </c>
      <c r="I58" s="195"/>
      <c r="J58" s="195"/>
      <c r="M58" s="136" t="s">
        <v>320</v>
      </c>
      <c r="N58" s="147" t="e">
        <f>IF(N57="",B5*Z17*Z18*N56,N57*E66*Z17*Z18/1000)</f>
        <v>#REF!</v>
      </c>
      <c r="O58" s="136" t="s">
        <v>147</v>
      </c>
      <c r="V58" s="54"/>
      <c r="W58" s="53"/>
      <c r="X58" s="53"/>
    </row>
    <row r="59" spans="1:28" ht="16.5">
      <c r="H59" s="136" t="s">
        <v>248</v>
      </c>
      <c r="I59" s="78" t="e">
        <f>(((N18/1000)*(1-(H57*(1/(1-E57)))/1)*((1-E57)/1))-(0.02443*E57))*1000</f>
        <v>#REF!</v>
      </c>
      <c r="J59" s="136" t="s">
        <v>166</v>
      </c>
      <c r="V59" s="53"/>
      <c r="W59" s="53"/>
      <c r="X59" s="53"/>
      <c r="Z59" s="137"/>
      <c r="AA59" s="137"/>
      <c r="AB59" s="137"/>
    </row>
    <row r="60" spans="1:28" ht="16.5">
      <c r="C60" s="137"/>
      <c r="E60" s="71"/>
      <c r="Q60" s="71" t="s">
        <v>323</v>
      </c>
      <c r="R60" s="61"/>
      <c r="S60" s="61"/>
      <c r="T60" s="61"/>
      <c r="U60" s="61"/>
      <c r="V60" s="54"/>
      <c r="W60" s="53"/>
      <c r="X60" s="53"/>
    </row>
    <row r="61" spans="1:28" ht="16.5">
      <c r="E61" s="62"/>
      <c r="F61" s="62"/>
      <c r="G61" s="62" t="s">
        <v>324</v>
      </c>
      <c r="H61" s="199" t="s">
        <v>325</v>
      </c>
      <c r="I61" s="200"/>
      <c r="J61" s="200"/>
      <c r="K61" s="200"/>
      <c r="L61" s="200"/>
      <c r="Q61" s="63" t="s">
        <v>326</v>
      </c>
      <c r="R61" s="63" t="s">
        <v>327</v>
      </c>
      <c r="S61" s="62" t="s">
        <v>256</v>
      </c>
      <c r="T61" s="64" t="s">
        <v>257</v>
      </c>
      <c r="U61" s="64" t="s">
        <v>258</v>
      </c>
      <c r="V61" s="54"/>
      <c r="W61" s="53"/>
      <c r="X61" s="53"/>
    </row>
    <row r="62" spans="1:28" ht="16.5">
      <c r="E62" s="73" t="s">
        <v>328</v>
      </c>
      <c r="F62" s="73" t="s">
        <v>329</v>
      </c>
      <c r="G62" s="73" t="s">
        <v>330</v>
      </c>
      <c r="H62" s="49" t="s">
        <v>331</v>
      </c>
      <c r="I62" s="73" t="s">
        <v>332</v>
      </c>
      <c r="J62" s="73" t="s">
        <v>333</v>
      </c>
      <c r="K62" s="73" t="s">
        <v>334</v>
      </c>
      <c r="L62" s="73" t="s">
        <v>335</v>
      </c>
      <c r="Q62" s="144">
        <v>0.05</v>
      </c>
      <c r="R62" s="100" t="e">
        <f>B26*Q62</f>
        <v>#REF!</v>
      </c>
      <c r="S62" s="144">
        <v>1.1000000000000001</v>
      </c>
      <c r="T62" s="65" t="e">
        <f>R62*S62</f>
        <v>#REF!</v>
      </c>
      <c r="U62" s="65" t="e">
        <f>T62*$R$18</f>
        <v>#REF!</v>
      </c>
      <c r="V62" s="54"/>
      <c r="W62" s="53"/>
      <c r="X62" s="53"/>
    </row>
    <row r="63" spans="1:28" ht="16.5">
      <c r="E63" s="75" t="e">
        <f>F34-I34+F43-I43+F24-I24</f>
        <v>#REF!</v>
      </c>
      <c r="F63" s="75" t="e">
        <f>E63*(1-E57-H58)</f>
        <v>#REF!</v>
      </c>
      <c r="G63" s="75" t="e">
        <f>F63*N18/1000/1000</f>
        <v>#REF!</v>
      </c>
      <c r="H63" s="96" t="e">
        <f>(E63-F68)*R5/1000/1000</f>
        <v>#REF!</v>
      </c>
      <c r="I63" s="75" t="e">
        <f>$R$6*E57*E63/1000/1000</f>
        <v>#REF!</v>
      </c>
      <c r="J63" s="75" t="e">
        <f>($R$8*(($R$7*(F63))/1000/1000))</f>
        <v>#REF!</v>
      </c>
      <c r="K63" s="75" t="e">
        <f>G63*R9</f>
        <v>#REF!</v>
      </c>
      <c r="L63" s="75" t="e">
        <f>G63-SUM(H63:K63)</f>
        <v>#REF!</v>
      </c>
      <c r="Q63" s="137"/>
      <c r="R63" s="61"/>
      <c r="S63" s="137"/>
      <c r="T63" s="99"/>
      <c r="U63" s="99"/>
      <c r="V63" s="54"/>
      <c r="W63" s="53"/>
      <c r="X63" s="53"/>
      <c r="Y63" s="53"/>
    </row>
    <row r="64" spans="1:28" ht="16.5">
      <c r="E64" s="74"/>
      <c r="F64" s="73" t="s">
        <v>336</v>
      </c>
      <c r="G64" s="75" cm="1">
        <f t="array" ref="G64">IFERROR(INDEX(Q28:V43,MATCH(E63,Q28:Q43,1)+1,6),V28)</f>
        <v>3.4</v>
      </c>
      <c r="H64" s="201" t="e">
        <f>SUM(I63:K63)</f>
        <v>#REF!</v>
      </c>
      <c r="I64" s="202"/>
      <c r="J64" s="202"/>
      <c r="K64" s="203"/>
      <c r="L64" s="74"/>
      <c r="Q64" s="137"/>
      <c r="R64" s="61"/>
      <c r="S64" s="137"/>
      <c r="T64" s="99"/>
      <c r="U64" s="99"/>
      <c r="W64" s="53"/>
      <c r="X64" s="53"/>
      <c r="Y64" s="53"/>
    </row>
    <row r="65" spans="1:25" ht="16.5">
      <c r="E65" s="62" t="s">
        <v>337</v>
      </c>
      <c r="F65" s="62" t="s">
        <v>338</v>
      </c>
      <c r="G65" s="73" t="s">
        <v>339</v>
      </c>
      <c r="H65" s="73" t="s">
        <v>340</v>
      </c>
      <c r="I65" s="73" t="s">
        <v>199</v>
      </c>
      <c r="Q65" s="137"/>
      <c r="R65" s="61"/>
      <c r="S65" s="137"/>
      <c r="T65" s="99"/>
      <c r="U65" s="99"/>
      <c r="W65" s="53"/>
      <c r="X65" s="53"/>
      <c r="Y65" s="53"/>
    </row>
    <row r="66" spans="1:25" ht="16.5">
      <c r="E66" s="76" t="e">
        <f>L63*1000*1000/N18</f>
        <v>#REF!</v>
      </c>
      <c r="F66" s="76" t="e">
        <f>R7*F63</f>
        <v>#REF!</v>
      </c>
      <c r="G66" s="149">
        <v>450</v>
      </c>
      <c r="H66" s="97">
        <v>850</v>
      </c>
      <c r="I66" s="150">
        <v>1.2</v>
      </c>
      <c r="Q66" s="137"/>
      <c r="R66" s="61"/>
      <c r="S66" s="137"/>
      <c r="T66" s="99"/>
      <c r="U66" s="99"/>
      <c r="W66" s="53"/>
      <c r="X66" s="53"/>
      <c r="Y66" s="53"/>
    </row>
    <row r="67" spans="1:25" ht="16.5">
      <c r="E67" s="62" t="s">
        <v>341</v>
      </c>
      <c r="F67" s="62" t="s">
        <v>342</v>
      </c>
      <c r="I67" s="151" t="e">
        <f>F66/((F63-E66)*(1/12)/0.21*29)</f>
        <v>#REF!</v>
      </c>
      <c r="Q67" s="137"/>
      <c r="R67" s="61"/>
      <c r="S67" s="137"/>
      <c r="T67" s="99"/>
      <c r="U67" s="99"/>
      <c r="W67" s="53"/>
      <c r="X67" s="53"/>
      <c r="Y67" s="53"/>
    </row>
    <row r="68" spans="1:25">
      <c r="E68" s="76" t="e">
        <f>H58*E63</f>
        <v>#REF!</v>
      </c>
      <c r="F68" s="76" t="e">
        <f>E57*E63</f>
        <v>#REF!</v>
      </c>
      <c r="G68" s="137"/>
      <c r="H68" s="152"/>
      <c r="Q68" s="137"/>
      <c r="R68" s="61"/>
      <c r="S68" s="137"/>
      <c r="T68" s="99"/>
      <c r="U68" s="99"/>
    </row>
    <row r="69" spans="1:25">
      <c r="E69" s="62" t="s">
        <v>343</v>
      </c>
      <c r="F69" s="138" t="e">
        <f>E66/E63</f>
        <v>#REF!</v>
      </c>
      <c r="Q69" s="137"/>
      <c r="R69" s="61"/>
      <c r="S69" s="137"/>
      <c r="T69" s="99"/>
      <c r="U69" s="99"/>
    </row>
    <row r="70" spans="1:25">
      <c r="Q70" s="137"/>
      <c r="R70" s="61"/>
      <c r="S70" s="137"/>
      <c r="T70" s="99"/>
      <c r="U70" s="99"/>
    </row>
    <row r="73" spans="1:25">
      <c r="D73" s="71" t="s">
        <v>344</v>
      </c>
      <c r="R73" s="137"/>
    </row>
    <row r="74" spans="1:25">
      <c r="D74" s="137" t="s">
        <v>345</v>
      </c>
      <c r="E74" s="153">
        <f>IF(W5&gt;0,B2*1000*W5,0)+IF(W8&gt;0,B9*1000*W8,0)</f>
        <v>0</v>
      </c>
    </row>
    <row r="75" spans="1:25">
      <c r="D75" s="137" t="s">
        <v>346</v>
      </c>
      <c r="E75" s="153" t="e">
        <f>(I34*W11+I24*W10-I43*W12)*Z17*Z18</f>
        <v>#REF!</v>
      </c>
    </row>
    <row r="76" spans="1:25">
      <c r="B76" s="137" t="s">
        <v>285</v>
      </c>
      <c r="D76" s="137" t="s">
        <v>47</v>
      </c>
      <c r="E76" s="153" t="e">
        <f>(E66+E68)*W4*Z17*Z18</f>
        <v>#REF!</v>
      </c>
    </row>
    <row r="77" spans="1:25">
      <c r="A77" s="137" t="s">
        <v>287</v>
      </c>
      <c r="B77" s="59">
        <f>Z40</f>
        <v>0</v>
      </c>
      <c r="D77" s="137" t="s">
        <v>347</v>
      </c>
      <c r="E77" s="59">
        <f>IF(N42=0,N38*Z17*Z18*W3,0)</f>
        <v>0</v>
      </c>
      <c r="G77" s="137" t="s">
        <v>348</v>
      </c>
      <c r="H77" s="60" t="e">
        <f>'NPV2'!C54</f>
        <v>#REF!</v>
      </c>
    </row>
    <row r="78" spans="1:25">
      <c r="A78" s="137" t="s">
        <v>235</v>
      </c>
      <c r="B78" s="59" t="e">
        <f t="shared" ref="B78:B88" si="10">Z41</f>
        <v>#REF!</v>
      </c>
      <c r="D78" s="137" t="s">
        <v>289</v>
      </c>
      <c r="E78" s="153">
        <f>Z17*Z18*N44*W6</f>
        <v>0</v>
      </c>
    </row>
    <row r="79" spans="1:25">
      <c r="A79" s="137" t="s">
        <v>268</v>
      </c>
      <c r="B79" s="59">
        <f t="shared" si="10"/>
        <v>0</v>
      </c>
      <c r="D79" s="137" t="s">
        <v>349</v>
      </c>
      <c r="E79" s="153" t="e">
        <f>IF(N54=1,Z17*Z18*N55*W7,0)</f>
        <v>#REF!</v>
      </c>
      <c r="G79" s="137" t="s">
        <v>350</v>
      </c>
      <c r="H79" s="154" t="e">
        <f>E98/(B90/R21)</f>
        <v>#REF!</v>
      </c>
      <c r="I79" s="90"/>
    </row>
    <row r="80" spans="1:25">
      <c r="A80" s="137" t="s">
        <v>296</v>
      </c>
      <c r="B80" s="59" t="e">
        <f t="shared" si="10"/>
        <v>#REF!</v>
      </c>
      <c r="D80" s="137" t="s">
        <v>303</v>
      </c>
      <c r="E80" s="153" t="e">
        <f>SUM(K18:L18)*B19*1000*Z17*Z18*N49*N48*W13</f>
        <v>#REF!</v>
      </c>
    </row>
    <row r="81" spans="1:15">
      <c r="A81" s="137" t="s">
        <v>289</v>
      </c>
      <c r="B81" s="59">
        <f t="shared" si="10"/>
        <v>0</v>
      </c>
      <c r="D81" s="137" t="s">
        <v>320</v>
      </c>
      <c r="E81" s="153" t="e">
        <f>N58*1000*W9</f>
        <v>#REF!</v>
      </c>
      <c r="G81" s="137" t="s">
        <v>351</v>
      </c>
      <c r="H81" s="154" t="e">
        <f>E100/B90</f>
        <v>#REF!</v>
      </c>
      <c r="I81" s="89"/>
      <c r="J81" s="137" t="s">
        <v>352</v>
      </c>
      <c r="K81" s="154" t="e">
        <f>E98/E100</f>
        <v>#REF!</v>
      </c>
    </row>
    <row r="82" spans="1:15">
      <c r="A82" s="137" t="s">
        <v>182</v>
      </c>
      <c r="B82" s="59" t="e">
        <f t="shared" si="10"/>
        <v>#REF!</v>
      </c>
      <c r="G82" s="137" t="s">
        <v>353</v>
      </c>
      <c r="H82" s="154" t="e">
        <f>E83/B90</f>
        <v>#REF!</v>
      </c>
      <c r="J82" s="137" t="s">
        <v>230</v>
      </c>
      <c r="K82" s="154">
        <f>R21</f>
        <v>2</v>
      </c>
    </row>
    <row r="83" spans="1:15">
      <c r="A83" s="137" t="s">
        <v>301</v>
      </c>
      <c r="B83" s="59">
        <f t="shared" si="10"/>
        <v>0</v>
      </c>
      <c r="D83" s="137" t="s">
        <v>354</v>
      </c>
      <c r="E83" s="86" t="e">
        <f>SUM(E74:E81)</f>
        <v>#REF!</v>
      </c>
      <c r="G83" s="137" t="s">
        <v>355</v>
      </c>
      <c r="H83" s="154" t="e">
        <f>E100/E83</f>
        <v>#REF!</v>
      </c>
    </row>
    <row r="84" spans="1:15">
      <c r="A84" s="137" t="s">
        <v>303</v>
      </c>
      <c r="B84" s="59">
        <f t="shared" si="10"/>
        <v>0</v>
      </c>
      <c r="E84" s="59"/>
    </row>
    <row r="85" spans="1:15">
      <c r="A85" s="137" t="s">
        <v>308</v>
      </c>
      <c r="B85" s="59">
        <f t="shared" si="10"/>
        <v>0</v>
      </c>
      <c r="D85" s="137" t="s">
        <v>356</v>
      </c>
      <c r="E85" s="59" t="e">
        <f>IF(W5&gt;0,0,-B2*1000*W5)+IF(W8&gt;0,0,-B9*1000*W8)</f>
        <v>#REF!</v>
      </c>
    </row>
    <row r="86" spans="1:15">
      <c r="A86" s="137" t="s">
        <v>310</v>
      </c>
      <c r="B86" s="59">
        <f t="shared" si="10"/>
        <v>0</v>
      </c>
      <c r="D86" s="137" t="s">
        <v>357</v>
      </c>
      <c r="E86" s="59" t="e">
        <f>W19+W20+W22+IF(N54=0,N55*Z17*Z18*R23)</f>
        <v>#REF!</v>
      </c>
      <c r="I86" s="204" t="s">
        <v>358</v>
      </c>
      <c r="J86" s="204"/>
      <c r="K86" s="204"/>
      <c r="L86" s="204"/>
      <c r="M86" s="204"/>
      <c r="N86" s="204"/>
      <c r="O86" s="204"/>
    </row>
    <row r="87" spans="1:15">
      <c r="A87" s="137" t="s">
        <v>313</v>
      </c>
      <c r="B87" s="59">
        <f t="shared" si="10"/>
        <v>0</v>
      </c>
      <c r="D87" s="137" t="s">
        <v>359</v>
      </c>
      <c r="E87" s="153" t="e">
        <f>W16+W17+W23</f>
        <v>#REF!</v>
      </c>
      <c r="G87" s="59"/>
      <c r="H87" s="62" t="s">
        <v>360</v>
      </c>
      <c r="I87" s="132" t="s">
        <v>345</v>
      </c>
      <c r="J87" s="132" t="s">
        <v>346</v>
      </c>
      <c r="K87" s="132" t="s">
        <v>47</v>
      </c>
      <c r="L87" s="132" t="s">
        <v>349</v>
      </c>
      <c r="M87" s="132" t="s">
        <v>303</v>
      </c>
      <c r="N87" s="132" t="s">
        <v>320</v>
      </c>
      <c r="O87" s="62" t="s">
        <v>361</v>
      </c>
    </row>
    <row r="88" spans="1:15">
      <c r="A88" s="137" t="s">
        <v>315</v>
      </c>
      <c r="B88" s="59" t="e">
        <f t="shared" si="10"/>
        <v>#REF!</v>
      </c>
      <c r="D88" s="137" t="s">
        <v>104</v>
      </c>
      <c r="E88" s="86" t="e">
        <f>SUM(E85:E87)</f>
        <v>#REF!</v>
      </c>
      <c r="G88" s="62" t="s">
        <v>362</v>
      </c>
      <c r="H88" s="130">
        <v>0</v>
      </c>
      <c r="I88" s="130">
        <f t="shared" ref="I88:N88" si="11">IFERROR(INDEX(Revenue,MATCH(I87,Rev_Stream,0),2),0)</f>
        <v>0</v>
      </c>
      <c r="J88" s="130">
        <f t="shared" si="11"/>
        <v>0</v>
      </c>
      <c r="K88" s="130">
        <f t="shared" si="11"/>
        <v>0</v>
      </c>
      <c r="L88" s="130">
        <f t="shared" si="11"/>
        <v>0</v>
      </c>
      <c r="M88" s="130">
        <f t="shared" si="11"/>
        <v>0</v>
      </c>
      <c r="N88" s="130">
        <f t="shared" si="11"/>
        <v>0</v>
      </c>
      <c r="O88" s="130">
        <f>SUM(I88:N88)</f>
        <v>0</v>
      </c>
    </row>
    <row r="89" spans="1:15">
      <c r="G89" s="62" t="s">
        <v>34</v>
      </c>
      <c r="H89" s="130" t="e">
        <f>E88</f>
        <v>#REF!</v>
      </c>
      <c r="I89" s="130" t="e">
        <f>H89</f>
        <v>#REF!</v>
      </c>
      <c r="J89" s="130" t="e">
        <f t="shared" ref="J89:O90" si="12">I89</f>
        <v>#REF!</v>
      </c>
      <c r="K89" s="130" t="e">
        <f t="shared" si="12"/>
        <v>#REF!</v>
      </c>
      <c r="L89" s="130" t="e">
        <f t="shared" si="12"/>
        <v>#REF!</v>
      </c>
      <c r="M89" s="130" t="e">
        <f t="shared" si="12"/>
        <v>#REF!</v>
      </c>
      <c r="N89" s="130" t="e">
        <f t="shared" si="12"/>
        <v>#REF!</v>
      </c>
      <c r="O89" s="130" t="e">
        <f t="shared" si="12"/>
        <v>#REF!</v>
      </c>
    </row>
    <row r="90" spans="1:15">
      <c r="A90" s="155" t="s">
        <v>363</v>
      </c>
      <c r="B90" s="88" t="e">
        <f>SUM(B78:B88)</f>
        <v>#REF!</v>
      </c>
      <c r="D90" s="137" t="s">
        <v>364</v>
      </c>
      <c r="E90" s="86" t="e">
        <f>E83-E88</f>
        <v>#REF!</v>
      </c>
      <c r="F90" s="137"/>
      <c r="G90" s="62" t="s">
        <v>28</v>
      </c>
      <c r="H90" s="130" t="e">
        <f>PMT(#REF!,#REF!,-'M2'!B90+B81)</f>
        <v>#REF!</v>
      </c>
      <c r="I90" s="130" t="e">
        <f>H90</f>
        <v>#REF!</v>
      </c>
      <c r="J90" s="130" t="e">
        <f t="shared" si="12"/>
        <v>#REF!</v>
      </c>
      <c r="K90" s="130" t="e">
        <f t="shared" si="12"/>
        <v>#REF!</v>
      </c>
      <c r="L90" s="130" t="e">
        <f t="shared" si="12"/>
        <v>#REF!</v>
      </c>
      <c r="M90" s="130" t="e">
        <f t="shared" si="12"/>
        <v>#REF!</v>
      </c>
      <c r="N90" s="130" t="e">
        <f t="shared" si="12"/>
        <v>#REF!</v>
      </c>
      <c r="O90" s="130" t="e">
        <f t="shared" si="12"/>
        <v>#REF!</v>
      </c>
    </row>
    <row r="91" spans="1:15">
      <c r="G91" s="62" t="s">
        <v>178</v>
      </c>
      <c r="H91" s="130" t="e">
        <f>SUM(H89:H90)</f>
        <v>#REF!</v>
      </c>
      <c r="I91" s="130" t="e">
        <f>SUM(I89:I90)-I88</f>
        <v>#REF!</v>
      </c>
      <c r="J91" s="130" t="e">
        <f t="shared" ref="J91:O91" si="13">SUM(J89:J90)-J88</f>
        <v>#REF!</v>
      </c>
      <c r="K91" s="130" t="e">
        <f t="shared" si="13"/>
        <v>#REF!</v>
      </c>
      <c r="L91" s="130" t="e">
        <f t="shared" si="13"/>
        <v>#REF!</v>
      </c>
      <c r="M91" s="130" t="e">
        <f t="shared" si="13"/>
        <v>#REF!</v>
      </c>
      <c r="N91" s="130" t="e">
        <f t="shared" si="13"/>
        <v>#REF!</v>
      </c>
      <c r="O91" s="130" t="e">
        <f t="shared" si="13"/>
        <v>#REF!</v>
      </c>
    </row>
    <row r="92" spans="1:15">
      <c r="D92" s="137" t="s">
        <v>365</v>
      </c>
      <c r="E92" s="85" t="e">
        <f>IPMT(R19,1,R20,-(B90-B90/R21))</f>
        <v>#REF!</v>
      </c>
      <c r="G92" s="62"/>
      <c r="H92" s="70"/>
      <c r="I92" s="70"/>
      <c r="J92" s="70"/>
      <c r="K92" s="70"/>
      <c r="L92" s="70"/>
      <c r="M92" s="70"/>
      <c r="N92" s="70"/>
      <c r="O92" s="70"/>
    </row>
    <row r="93" spans="1:15">
      <c r="G93" s="131" t="s">
        <v>366</v>
      </c>
      <c r="H93" s="156" t="e">
        <f>Z17*Z18*H64</f>
        <v>#REF!</v>
      </c>
      <c r="I93" s="91" t="e">
        <f>H93</f>
        <v>#REF!</v>
      </c>
      <c r="J93" s="91" t="e">
        <f t="shared" ref="J93:O94" si="14">I93</f>
        <v>#REF!</v>
      </c>
      <c r="K93" s="91" t="e">
        <f t="shared" si="14"/>
        <v>#REF!</v>
      </c>
      <c r="L93" s="91" t="e">
        <f t="shared" si="14"/>
        <v>#REF!</v>
      </c>
      <c r="M93" s="91" t="e">
        <f t="shared" si="14"/>
        <v>#REF!</v>
      </c>
      <c r="N93" s="91" t="e">
        <f t="shared" si="14"/>
        <v>#REF!</v>
      </c>
      <c r="O93" s="91" t="e">
        <f t="shared" si="14"/>
        <v>#REF!</v>
      </c>
    </row>
    <row r="94" spans="1:15">
      <c r="D94" s="137" t="s">
        <v>367</v>
      </c>
      <c r="E94" s="86" t="e">
        <f>E90-E92</f>
        <v>#REF!</v>
      </c>
      <c r="G94" s="131" t="s">
        <v>368</v>
      </c>
      <c r="H94" s="91" t="e">
        <f>B51*Z17*Z18</f>
        <v>#REF!</v>
      </c>
      <c r="I94" s="91" t="e">
        <f>H94</f>
        <v>#REF!</v>
      </c>
      <c r="J94" s="91" t="e">
        <f t="shared" si="14"/>
        <v>#REF!</v>
      </c>
      <c r="K94" s="91" t="e">
        <f t="shared" si="14"/>
        <v>#REF!</v>
      </c>
      <c r="L94" s="91" t="e">
        <f t="shared" si="14"/>
        <v>#REF!</v>
      </c>
      <c r="M94" s="91" t="e">
        <f t="shared" si="14"/>
        <v>#REF!</v>
      </c>
      <c r="N94" s="91" t="e">
        <f t="shared" si="14"/>
        <v>#REF!</v>
      </c>
      <c r="O94" s="91" t="e">
        <f t="shared" si="14"/>
        <v>#REF!</v>
      </c>
    </row>
    <row r="95" spans="1:15">
      <c r="G95" s="62"/>
      <c r="H95" s="70"/>
      <c r="I95" s="70"/>
      <c r="J95" s="70"/>
      <c r="K95" s="70"/>
      <c r="L95" s="70"/>
      <c r="M95" s="70"/>
      <c r="N95" s="70"/>
      <c r="O95" s="70"/>
    </row>
    <row r="96" spans="1:15">
      <c r="D96" s="137" t="s">
        <v>369</v>
      </c>
      <c r="E96" s="59" t="e">
        <f>E94*0.3</f>
        <v>#REF!</v>
      </c>
      <c r="G96" s="131" t="s">
        <v>370</v>
      </c>
      <c r="H96" s="157" t="e">
        <f>H91/H93</f>
        <v>#REF!</v>
      </c>
      <c r="I96" s="157" t="e">
        <f>I91/I93</f>
        <v>#REF!</v>
      </c>
      <c r="J96" s="157" t="e">
        <f t="shared" ref="J96:O96" si="15">J91/J93</f>
        <v>#REF!</v>
      </c>
      <c r="K96" s="157" t="e">
        <f t="shared" si="15"/>
        <v>#REF!</v>
      </c>
      <c r="L96" s="157" t="e">
        <f t="shared" si="15"/>
        <v>#REF!</v>
      </c>
      <c r="M96" s="157" t="e">
        <f t="shared" si="15"/>
        <v>#REF!</v>
      </c>
      <c r="N96" s="157" t="e">
        <f t="shared" si="15"/>
        <v>#REF!</v>
      </c>
      <c r="O96" s="157" t="e">
        <f t="shared" si="15"/>
        <v>#REF!</v>
      </c>
    </row>
    <row r="97" spans="4:15">
      <c r="G97" s="62" t="s">
        <v>371</v>
      </c>
      <c r="H97" s="157" t="e">
        <f>H91/H94</f>
        <v>#REF!</v>
      </c>
      <c r="I97" s="157" t="e">
        <f t="shared" ref="I97:O97" si="16">I91/I94</f>
        <v>#REF!</v>
      </c>
      <c r="J97" s="157" t="e">
        <f t="shared" si="16"/>
        <v>#REF!</v>
      </c>
      <c r="K97" s="157" t="e">
        <f t="shared" si="16"/>
        <v>#REF!</v>
      </c>
      <c r="L97" s="157" t="e">
        <f t="shared" si="16"/>
        <v>#REF!</v>
      </c>
      <c r="M97" s="157" t="e">
        <f t="shared" si="16"/>
        <v>#REF!</v>
      </c>
      <c r="N97" s="157" t="e">
        <f t="shared" si="16"/>
        <v>#REF!</v>
      </c>
      <c r="O97" s="157" t="e">
        <f t="shared" si="16"/>
        <v>#REF!</v>
      </c>
    </row>
    <row r="98" spans="4:15">
      <c r="D98" s="137" t="s">
        <v>372</v>
      </c>
      <c r="E98" s="86" t="e">
        <f>E94-E96</f>
        <v>#REF!</v>
      </c>
      <c r="G98" s="62"/>
      <c r="H98" s="70"/>
      <c r="I98" s="136"/>
      <c r="J98" s="136"/>
      <c r="K98" s="136"/>
      <c r="L98" s="136"/>
      <c r="M98" s="136"/>
      <c r="N98" s="136"/>
      <c r="O98" s="136"/>
    </row>
    <row r="99" spans="4:15">
      <c r="G99" s="62" t="s">
        <v>373</v>
      </c>
      <c r="H99" s="91" t="e">
        <f>H94/Z17/Z18*1000*1000/3600*0.3*0.85</f>
        <v>#REF!</v>
      </c>
      <c r="I99" s="156" t="e">
        <f>H99</f>
        <v>#REF!</v>
      </c>
      <c r="J99" s="156" t="e">
        <f t="shared" ref="J99:O101" si="17">I99</f>
        <v>#REF!</v>
      </c>
      <c r="K99" s="156" t="e">
        <f t="shared" si="17"/>
        <v>#REF!</v>
      </c>
      <c r="L99" s="156" t="e">
        <f t="shared" si="17"/>
        <v>#REF!</v>
      </c>
      <c r="M99" s="156" t="e">
        <f t="shared" si="17"/>
        <v>#REF!</v>
      </c>
      <c r="N99" s="156" t="e">
        <f t="shared" si="17"/>
        <v>#REF!</v>
      </c>
      <c r="O99" s="156" t="e">
        <f t="shared" si="17"/>
        <v>#REF!</v>
      </c>
    </row>
    <row r="100" spans="4:15">
      <c r="D100" s="137" t="s">
        <v>374</v>
      </c>
      <c r="E100" s="86" t="e">
        <f>E98+(E92*(1-0.3))</f>
        <v>#REF!</v>
      </c>
      <c r="G100" s="62" t="s">
        <v>375</v>
      </c>
      <c r="H100" s="91" t="e">
        <f>H94*1000*1000/3600*0.3*0.85</f>
        <v>#REF!</v>
      </c>
      <c r="I100" s="91" t="e">
        <f>H100</f>
        <v>#REF!</v>
      </c>
      <c r="J100" s="91" t="e">
        <f t="shared" si="17"/>
        <v>#REF!</v>
      </c>
      <c r="K100" s="91" t="e">
        <f t="shared" si="17"/>
        <v>#REF!</v>
      </c>
      <c r="L100" s="91" t="e">
        <f t="shared" si="17"/>
        <v>#REF!</v>
      </c>
      <c r="M100" s="91" t="e">
        <f t="shared" si="17"/>
        <v>#REF!</v>
      </c>
      <c r="N100" s="91" t="e">
        <f t="shared" si="17"/>
        <v>#REF!</v>
      </c>
      <c r="O100" s="91" t="e">
        <f t="shared" si="17"/>
        <v>#REF!</v>
      </c>
    </row>
    <row r="101" spans="4:15">
      <c r="G101" s="62" t="s">
        <v>28</v>
      </c>
      <c r="H101" s="130" t="e">
        <f>PMT(#REF!,#REF!,-H99*R17)</f>
        <v>#REF!</v>
      </c>
      <c r="I101" s="130" t="e">
        <f>H101</f>
        <v>#REF!</v>
      </c>
      <c r="J101" s="130" t="e">
        <f t="shared" si="17"/>
        <v>#REF!</v>
      </c>
      <c r="K101" s="130" t="e">
        <f t="shared" si="17"/>
        <v>#REF!</v>
      </c>
      <c r="L101" s="130" t="e">
        <f t="shared" si="17"/>
        <v>#REF!</v>
      </c>
      <c r="M101" s="130" t="e">
        <f t="shared" si="17"/>
        <v>#REF!</v>
      </c>
      <c r="N101" s="130" t="e">
        <f t="shared" si="17"/>
        <v>#REF!</v>
      </c>
      <c r="O101" s="130" t="e">
        <f t="shared" si="17"/>
        <v>#REF!</v>
      </c>
    </row>
    <row r="102" spans="4:15">
      <c r="G102" s="62" t="s">
        <v>376</v>
      </c>
      <c r="H102" s="130" t="e">
        <f>H91+H101</f>
        <v>#REF!</v>
      </c>
      <c r="I102" s="130" t="e">
        <f t="shared" ref="I102:O102" si="18">I91+I101</f>
        <v>#REF!</v>
      </c>
      <c r="J102" s="130" t="e">
        <f t="shared" si="18"/>
        <v>#REF!</v>
      </c>
      <c r="K102" s="130" t="e">
        <f t="shared" si="18"/>
        <v>#REF!</v>
      </c>
      <c r="L102" s="130" t="e">
        <f t="shared" si="18"/>
        <v>#REF!</v>
      </c>
      <c r="M102" s="130" t="e">
        <f t="shared" si="18"/>
        <v>#REF!</v>
      </c>
      <c r="N102" s="130" t="e">
        <f t="shared" si="18"/>
        <v>#REF!</v>
      </c>
      <c r="O102" s="130" t="e">
        <f t="shared" si="18"/>
        <v>#REF!</v>
      </c>
    </row>
    <row r="103" spans="4:15">
      <c r="G103" s="62" t="s">
        <v>377</v>
      </c>
      <c r="H103" s="157" t="e">
        <f>H102/H100</f>
        <v>#REF!</v>
      </c>
      <c r="I103" s="157" t="e">
        <f t="shared" ref="I103:O103" si="19">I102/I100</f>
        <v>#REF!</v>
      </c>
      <c r="J103" s="157" t="e">
        <f t="shared" si="19"/>
        <v>#REF!</v>
      </c>
      <c r="K103" s="157" t="e">
        <f t="shared" si="19"/>
        <v>#REF!</v>
      </c>
      <c r="L103" s="157" t="e">
        <f t="shared" si="19"/>
        <v>#REF!</v>
      </c>
      <c r="M103" s="157" t="e">
        <f t="shared" si="19"/>
        <v>#REF!</v>
      </c>
      <c r="N103" s="157" t="e">
        <f t="shared" si="19"/>
        <v>#REF!</v>
      </c>
      <c r="O103" s="157" t="e">
        <f t="shared" si="19"/>
        <v>#REF!</v>
      </c>
    </row>
    <row r="104" spans="4:15">
      <c r="G104" s="62"/>
      <c r="H104" s="96"/>
      <c r="I104" s="70"/>
      <c r="J104" s="70"/>
      <c r="K104" s="70"/>
      <c r="L104" s="70"/>
      <c r="M104" s="70"/>
      <c r="N104" s="70"/>
      <c r="O104" s="70"/>
    </row>
    <row r="105" spans="4:15">
      <c r="G105" s="62" t="s">
        <v>378</v>
      </c>
      <c r="H105" s="123">
        <v>10</v>
      </c>
      <c r="I105" s="136"/>
      <c r="J105" s="70"/>
      <c r="K105" s="70"/>
      <c r="L105" s="70"/>
      <c r="M105" s="70"/>
      <c r="N105" s="70"/>
      <c r="O105" s="70"/>
    </row>
    <row r="106" spans="4:15">
      <c r="G106" s="62" t="s">
        <v>379</v>
      </c>
      <c r="H106" s="130" t="e">
        <f>H105*H94-H91</f>
        <v>#REF!</v>
      </c>
      <c r="I106" s="130" t="e">
        <f>I91-$H$91</f>
        <v>#REF!</v>
      </c>
      <c r="J106" s="130" t="e">
        <f t="shared" ref="J106:O106" si="20">J91-$H$91</f>
        <v>#REF!</v>
      </c>
      <c r="K106" s="130" t="e">
        <f t="shared" si="20"/>
        <v>#REF!</v>
      </c>
      <c r="L106" s="130" t="e">
        <f t="shared" si="20"/>
        <v>#REF!</v>
      </c>
      <c r="M106" s="130" t="e">
        <f t="shared" si="20"/>
        <v>#REF!</v>
      </c>
      <c r="N106" s="130" t="e">
        <f t="shared" si="20"/>
        <v>#REF!</v>
      </c>
      <c r="O106" s="130" t="e">
        <f t="shared" si="20"/>
        <v>#REF!</v>
      </c>
    </row>
    <row r="107" spans="4:15">
      <c r="G107" s="137"/>
    </row>
  </sheetData>
  <mergeCells count="17">
    <mergeCell ref="H55:J55"/>
    <mergeCell ref="H58:J58"/>
    <mergeCell ref="H61:L61"/>
    <mergeCell ref="H64:K64"/>
    <mergeCell ref="I86:O86"/>
    <mergeCell ref="H49:J49"/>
    <mergeCell ref="J2:L2"/>
    <mergeCell ref="J5:L5"/>
    <mergeCell ref="J9:L9"/>
    <mergeCell ref="J12:L12"/>
    <mergeCell ref="J16:L16"/>
    <mergeCell ref="J19:L19"/>
    <mergeCell ref="H27:J27"/>
    <mergeCell ref="H30:J30"/>
    <mergeCell ref="H37:J37"/>
    <mergeCell ref="H40:J40"/>
    <mergeCell ref="H46:J46"/>
  </mergeCells>
  <conditionalFormatting sqref="B51">
    <cfRule type="cellIs" dxfId="8" priority="6" operator="lessThan">
      <formula>0</formula>
    </cfRule>
  </conditionalFormatting>
  <conditionalFormatting sqref="E63">
    <cfRule type="cellIs" dxfId="7" priority="5" operator="greaterThan">
      <formula>4000</formula>
    </cfRule>
  </conditionalFormatting>
  <conditionalFormatting sqref="F69">
    <cfRule type="cellIs" dxfId="6" priority="7" operator="greaterThan">
      <formula>0.3</formula>
    </cfRule>
  </conditionalFormatting>
  <conditionalFormatting sqref="H64">
    <cfRule type="cellIs" dxfId="5" priority="9" operator="greaterThan">
      <formula>$G$64</formula>
    </cfRule>
  </conditionalFormatting>
  <conditionalFormatting sqref="H103:O103">
    <cfRule type="cellIs" dxfId="4" priority="1" operator="lessThan">
      <formula>$W$6</formula>
    </cfRule>
    <cfRule type="cellIs" dxfId="3" priority="2" operator="greaterThan">
      <formula>$W$6</formula>
    </cfRule>
  </conditionalFormatting>
  <conditionalFormatting sqref="I106:O106">
    <cfRule type="cellIs" dxfId="2" priority="3" operator="lessThan">
      <formula>$H$106</formula>
    </cfRule>
    <cfRule type="cellIs" dxfId="1" priority="4" operator="greaterThan">
      <formula>$H$106</formula>
    </cfRule>
  </conditionalFormatting>
  <conditionalFormatting sqref="L63">
    <cfRule type="cellIs" dxfId="0" priority="8" operator="lessThan">
      <formula>0</formula>
    </cfRule>
  </conditionalFormatting>
  <dataValidations count="1">
    <dataValidation type="list" allowBlank="1" showInputMessage="1" showErrorMessage="1" sqref="I87:N87" xr:uid="{B51237CC-FE79-2943-961B-A72E75C90B9C}">
      <formula1>Rev_Stream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5ECC-013E-254A-AB8F-332280AC3278}">
  <dimension ref="A1:V105"/>
  <sheetViews>
    <sheetView showGridLines="0" zoomScale="150" zoomScaleNormal="150" workbookViewId="0">
      <selection activeCell="K10" sqref="K10"/>
    </sheetView>
  </sheetViews>
  <sheetFormatPr defaultColWidth="11.42578125" defaultRowHeight="12.75"/>
  <cols>
    <col min="1" max="1" width="12.7109375" customWidth="1"/>
    <col min="3" max="3" width="11.42578125" bestFit="1" customWidth="1"/>
  </cols>
  <sheetData>
    <row r="1" spans="1:13" s="35" customFormat="1" ht="23.25">
      <c r="A1" s="36" t="s">
        <v>72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3" s="5" customFormat="1" ht="20.100000000000001" customHeight="1" thickBot="1">
      <c r="A2" s="3"/>
      <c r="B2" s="3"/>
      <c r="C2" s="3"/>
      <c r="D2" s="3"/>
      <c r="E2" s="4" t="s">
        <v>73</v>
      </c>
      <c r="F2" s="3"/>
      <c r="G2" s="3"/>
      <c r="H2" s="3"/>
      <c r="I2" s="3"/>
      <c r="J2" s="3"/>
      <c r="K2" s="3"/>
      <c r="L2" s="3"/>
      <c r="M2" s="3"/>
    </row>
    <row r="3" spans="1:13" s="5" customFormat="1" ht="20.100000000000001" customHeight="1" thickTop="1">
      <c r="A3" s="6" t="s">
        <v>74</v>
      </c>
      <c r="B3" s="7"/>
      <c r="C3" s="8"/>
      <c r="D3" s="3"/>
      <c r="E3" s="6" t="s">
        <v>75</v>
      </c>
      <c r="F3" s="7"/>
      <c r="G3" s="8"/>
      <c r="H3" s="3"/>
      <c r="I3" s="39" t="s">
        <v>76</v>
      </c>
      <c r="J3" s="21"/>
      <c r="K3" s="22"/>
      <c r="L3" s="3"/>
      <c r="M3" s="3"/>
    </row>
    <row r="4" spans="1:13" s="5" customFormat="1" ht="20.100000000000001" customHeight="1">
      <c r="A4" s="9" t="s">
        <v>77</v>
      </c>
      <c r="B4" s="3"/>
      <c r="C4" s="108" t="e">
        <f>'M2'!B90</f>
        <v>#REF!</v>
      </c>
      <c r="D4" s="3"/>
      <c r="E4" s="9" t="s">
        <v>380</v>
      </c>
      <c r="F4" s="3"/>
      <c r="G4" s="109" t="e">
        <f>'M2'!E83</f>
        <v>#REF!</v>
      </c>
      <c r="H4" s="3"/>
      <c r="I4" s="40" t="s">
        <v>79</v>
      </c>
      <c r="J4" s="3"/>
      <c r="K4" s="111">
        <v>2</v>
      </c>
      <c r="L4" s="3"/>
      <c r="M4" s="3"/>
    </row>
    <row r="5" spans="1:13" s="5" customFormat="1" ht="20.100000000000001" customHeight="1">
      <c r="A5" s="9" t="s">
        <v>80</v>
      </c>
      <c r="B5" s="3"/>
      <c r="C5" s="116" t="e">
        <f>#REF!</f>
        <v>#REF!</v>
      </c>
      <c r="D5" s="3"/>
      <c r="E5" s="9" t="s">
        <v>381</v>
      </c>
      <c r="F5" s="3"/>
      <c r="G5" s="110" t="e">
        <f>SUM('M2'!E85:E86)/'M2'!E83</f>
        <v>#REF!</v>
      </c>
      <c r="H5" s="3"/>
      <c r="I5" s="23" t="s">
        <v>81</v>
      </c>
      <c r="J5" s="3"/>
      <c r="K5" s="112">
        <v>0.08</v>
      </c>
      <c r="L5" s="3"/>
      <c r="M5" s="3"/>
    </row>
    <row r="6" spans="1:13" s="5" customFormat="1" ht="20.100000000000001" customHeight="1">
      <c r="A6" s="9" t="s">
        <v>82</v>
      </c>
      <c r="B6" s="3"/>
      <c r="C6" s="115">
        <v>10</v>
      </c>
      <c r="D6" s="3"/>
      <c r="E6" s="9" t="s">
        <v>382</v>
      </c>
      <c r="F6" s="3"/>
      <c r="G6" s="109" t="e">
        <f>'M2'!E87</f>
        <v>#REF!</v>
      </c>
      <c r="H6" s="3"/>
      <c r="I6" s="23" t="s">
        <v>83</v>
      </c>
      <c r="J6" s="3"/>
      <c r="K6" s="111">
        <v>1</v>
      </c>
      <c r="L6" s="3"/>
      <c r="M6" s="3"/>
    </row>
    <row r="7" spans="1:13" s="5" customFormat="1" ht="20.100000000000001" customHeight="1" thickBot="1">
      <c r="A7" s="9" t="s">
        <v>84</v>
      </c>
      <c r="B7" s="3"/>
      <c r="C7" s="116">
        <v>0</v>
      </c>
      <c r="D7" s="3"/>
      <c r="E7" s="11" t="s">
        <v>78</v>
      </c>
      <c r="F7" s="12"/>
      <c r="G7" s="121">
        <v>0.3</v>
      </c>
      <c r="H7" s="3"/>
      <c r="I7" s="23" t="s">
        <v>85</v>
      </c>
      <c r="J7" s="3"/>
      <c r="K7" s="113">
        <v>0.04</v>
      </c>
      <c r="L7" s="3"/>
      <c r="M7" s="3"/>
    </row>
    <row r="8" spans="1:13" s="5" customFormat="1" ht="20.100000000000001" customHeight="1" thickTop="1">
      <c r="A8" s="9" t="s">
        <v>86</v>
      </c>
      <c r="B8" s="3"/>
      <c r="C8" s="115">
        <v>1</v>
      </c>
      <c r="D8" s="3"/>
      <c r="E8" s="3" t="s">
        <v>383</v>
      </c>
      <c r="F8" s="3"/>
      <c r="G8" s="13"/>
      <c r="H8" s="3"/>
      <c r="I8" s="23" t="s">
        <v>87</v>
      </c>
      <c r="J8" s="3"/>
      <c r="K8" s="113">
        <v>0.08</v>
      </c>
      <c r="L8" s="3"/>
      <c r="M8" s="3"/>
    </row>
    <row r="9" spans="1:13" s="5" customFormat="1" ht="20.100000000000001" customHeight="1">
      <c r="A9" s="9" t="s">
        <v>88</v>
      </c>
      <c r="B9" s="3"/>
      <c r="C9" s="117">
        <v>0</v>
      </c>
      <c r="D9" s="3"/>
      <c r="E9" s="3" t="s">
        <v>384</v>
      </c>
      <c r="F9" s="3"/>
      <c r="G9" s="13"/>
      <c r="H9" s="3"/>
      <c r="I9" s="23" t="s">
        <v>89</v>
      </c>
      <c r="J9" s="3"/>
      <c r="K9" s="127">
        <f>1-1/'M2'!R21</f>
        <v>0.5</v>
      </c>
      <c r="L9" s="3"/>
      <c r="M9" s="3"/>
    </row>
    <row r="10" spans="1:13" s="5" customFormat="1" ht="20.100000000000001" customHeight="1" thickBot="1">
      <c r="A10" s="11" t="s">
        <v>90</v>
      </c>
      <c r="B10" s="12"/>
      <c r="C10" s="118">
        <v>0</v>
      </c>
      <c r="D10" s="3"/>
      <c r="E10" s="3"/>
      <c r="F10" s="3"/>
      <c r="G10" s="13"/>
      <c r="H10" s="3"/>
      <c r="I10" s="26" t="s">
        <v>91</v>
      </c>
      <c r="J10" s="41"/>
      <c r="K10" s="127" t="e">
        <f>#REF!</f>
        <v>#REF!</v>
      </c>
      <c r="L10" s="3"/>
      <c r="M10" s="3"/>
    </row>
    <row r="11" spans="1:13" s="5" customFormat="1" ht="20.100000000000001" customHeight="1" thickTop="1" thickBot="1">
      <c r="A11" s="3"/>
      <c r="B11" s="3"/>
      <c r="C11" s="13"/>
      <c r="D11" s="3"/>
      <c r="E11"/>
      <c r="F11"/>
      <c r="G11"/>
      <c r="H11"/>
      <c r="I11" s="3" t="s">
        <v>92</v>
      </c>
      <c r="J11" s="3"/>
      <c r="K11" s="114" t="e">
        <f>IF(K4=1,K5,(K7+K6*K8)*(1-K9)+K10*(1-G7)*K9)</f>
        <v>#REF!</v>
      </c>
      <c r="L11" s="3"/>
      <c r="M11" s="3"/>
    </row>
    <row r="12" spans="1:13" s="5" customFormat="1" ht="20.100000000000001" customHeight="1" thickTop="1">
      <c r="A12" s="6" t="s">
        <v>93</v>
      </c>
      <c r="B12" s="7"/>
      <c r="C12" s="14"/>
      <c r="D12" s="3"/>
      <c r="E12"/>
      <c r="F12"/>
      <c r="G12"/>
      <c r="H12"/>
      <c r="I12"/>
      <c r="J12" s="3"/>
      <c r="K12" s="3"/>
      <c r="L12" s="3"/>
      <c r="M12" s="3"/>
    </row>
    <row r="13" spans="1:13" s="5" customFormat="1" ht="20.100000000000001" customHeight="1">
      <c r="A13" s="9" t="s">
        <v>94</v>
      </c>
      <c r="B13" s="3"/>
      <c r="C13" s="119">
        <v>0</v>
      </c>
      <c r="D13" s="3"/>
      <c r="E13"/>
      <c r="F13"/>
      <c r="G13"/>
      <c r="H13"/>
      <c r="I13"/>
      <c r="J13" s="3"/>
      <c r="K13" s="3"/>
      <c r="L13" s="3"/>
      <c r="M13" s="3"/>
    </row>
    <row r="14" spans="1:13" s="5" customFormat="1" ht="20.100000000000001" customHeight="1">
      <c r="A14" s="9" t="s">
        <v>95</v>
      </c>
      <c r="B14" s="3"/>
      <c r="C14" s="120">
        <v>0</v>
      </c>
      <c r="D14" s="3"/>
      <c r="E14"/>
      <c r="F14"/>
      <c r="G14"/>
      <c r="H14"/>
      <c r="I14"/>
      <c r="J14" s="3"/>
      <c r="K14" s="3"/>
      <c r="L14" s="3"/>
      <c r="M14" s="3"/>
    </row>
    <row r="15" spans="1:13" s="5" customFormat="1" ht="20.100000000000001" customHeight="1" thickBot="1">
      <c r="A15" s="11" t="s">
        <v>96</v>
      </c>
      <c r="B15" s="12"/>
      <c r="C15" s="121">
        <v>1</v>
      </c>
      <c r="D15" s="3"/>
      <c r="E15"/>
      <c r="F15"/>
      <c r="G15"/>
      <c r="H15"/>
      <c r="I15"/>
      <c r="J15" s="3"/>
      <c r="K15" s="3"/>
      <c r="L15" s="3"/>
      <c r="M15" s="3"/>
    </row>
    <row r="16" spans="1:13" s="5" customFormat="1" ht="20.100000000000001" customHeight="1" thickTop="1" thickBot="1">
      <c r="A16" s="3"/>
      <c r="B16" s="3"/>
      <c r="C16" s="3"/>
      <c r="D16" s="3"/>
      <c r="E16" s="3"/>
      <c r="F16" s="3"/>
      <c r="G16" s="3"/>
      <c r="H16" s="3"/>
      <c r="I16"/>
      <c r="J16" s="3"/>
      <c r="K16" s="3"/>
      <c r="L16" s="3"/>
      <c r="M16" s="3"/>
    </row>
    <row r="17" spans="1:22" s="5" customFormat="1" ht="20.100000000000001" customHeight="1" thickTop="1">
      <c r="A17" s="6" t="s">
        <v>97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102"/>
      <c r="O17" s="102"/>
      <c r="P17" s="102"/>
      <c r="Q17" s="102"/>
      <c r="R17" s="102"/>
      <c r="S17" s="102"/>
      <c r="T17" s="102"/>
      <c r="U17" s="102"/>
      <c r="V17" s="103"/>
    </row>
    <row r="18" spans="1:22" s="1" customFormat="1" ht="20.100000000000001" customHeight="1">
      <c r="A18" s="10"/>
      <c r="B18" s="15"/>
      <c r="C18" s="15">
        <v>1</v>
      </c>
      <c r="D18" s="15">
        <v>2</v>
      </c>
      <c r="E18" s="15">
        <v>3</v>
      </c>
      <c r="F18" s="15">
        <v>4</v>
      </c>
      <c r="G18" s="15">
        <v>5</v>
      </c>
      <c r="H18" s="15">
        <v>6</v>
      </c>
      <c r="I18" s="15">
        <v>7</v>
      </c>
      <c r="J18" s="15">
        <v>8</v>
      </c>
      <c r="K18" s="15">
        <v>9</v>
      </c>
      <c r="L18" s="15">
        <v>10</v>
      </c>
      <c r="M18" s="15">
        <v>11</v>
      </c>
      <c r="N18" s="15">
        <v>12</v>
      </c>
      <c r="O18" s="15">
        <v>13</v>
      </c>
      <c r="P18" s="15">
        <v>14</v>
      </c>
      <c r="Q18" s="15">
        <v>15</v>
      </c>
      <c r="R18" s="15">
        <v>16</v>
      </c>
      <c r="S18" s="15">
        <v>17</v>
      </c>
      <c r="T18" s="15">
        <v>18</v>
      </c>
      <c r="U18" s="15">
        <v>19</v>
      </c>
      <c r="V18" s="16">
        <v>20</v>
      </c>
    </row>
    <row r="19" spans="1:22" s="5" customFormat="1" ht="20.100000000000001" customHeight="1">
      <c r="A19" s="9" t="s">
        <v>98</v>
      </c>
      <c r="B19" s="3"/>
      <c r="C19" s="3" t="s">
        <v>99</v>
      </c>
      <c r="D19" s="17">
        <v>0.03</v>
      </c>
      <c r="E19" s="17">
        <v>0.03</v>
      </c>
      <c r="F19" s="17">
        <v>0.03</v>
      </c>
      <c r="G19" s="17">
        <v>0.03</v>
      </c>
      <c r="H19" s="17">
        <v>0.03</v>
      </c>
      <c r="I19" s="17">
        <v>0.03</v>
      </c>
      <c r="J19" s="17">
        <v>0.03</v>
      </c>
      <c r="K19" s="17">
        <v>0.03</v>
      </c>
      <c r="L19" s="17">
        <v>0.03</v>
      </c>
      <c r="M19" s="17">
        <v>0.03</v>
      </c>
      <c r="N19" s="17">
        <v>0.03</v>
      </c>
      <c r="O19" s="17">
        <v>0.03</v>
      </c>
      <c r="P19" s="17">
        <v>0.03</v>
      </c>
      <c r="Q19" s="17">
        <v>0.03</v>
      </c>
      <c r="R19" s="17">
        <v>0.03</v>
      </c>
      <c r="S19" s="17">
        <v>0.03</v>
      </c>
      <c r="T19" s="17">
        <v>0.03</v>
      </c>
      <c r="U19" s="17">
        <v>0.03</v>
      </c>
      <c r="V19" s="18">
        <v>0.03</v>
      </c>
    </row>
    <row r="20" spans="1:22" s="5" customFormat="1" ht="20.100000000000001" customHeight="1">
      <c r="A20" s="9" t="s">
        <v>385</v>
      </c>
      <c r="B20" s="3"/>
      <c r="C20" s="3" t="s">
        <v>99</v>
      </c>
      <c r="D20" s="17">
        <f t="shared" ref="D20:V20" si="0">D19</f>
        <v>0.03</v>
      </c>
      <c r="E20" s="17">
        <f t="shared" si="0"/>
        <v>0.03</v>
      </c>
      <c r="F20" s="17">
        <f t="shared" si="0"/>
        <v>0.03</v>
      </c>
      <c r="G20" s="17">
        <f t="shared" si="0"/>
        <v>0.03</v>
      </c>
      <c r="H20" s="17">
        <f t="shared" si="0"/>
        <v>0.03</v>
      </c>
      <c r="I20" s="17">
        <f t="shared" si="0"/>
        <v>0.03</v>
      </c>
      <c r="J20" s="17">
        <f t="shared" si="0"/>
        <v>0.03</v>
      </c>
      <c r="K20" s="17">
        <f t="shared" si="0"/>
        <v>0.03</v>
      </c>
      <c r="L20" s="17">
        <f t="shared" si="0"/>
        <v>0.03</v>
      </c>
      <c r="M20" s="17">
        <f t="shared" si="0"/>
        <v>0.03</v>
      </c>
      <c r="N20" s="17">
        <f t="shared" si="0"/>
        <v>0.03</v>
      </c>
      <c r="O20" s="17">
        <f t="shared" si="0"/>
        <v>0.03</v>
      </c>
      <c r="P20" s="17">
        <f t="shared" si="0"/>
        <v>0.03</v>
      </c>
      <c r="Q20" s="17">
        <f t="shared" si="0"/>
        <v>0.03</v>
      </c>
      <c r="R20" s="17">
        <f t="shared" si="0"/>
        <v>0.03</v>
      </c>
      <c r="S20" s="17">
        <f t="shared" si="0"/>
        <v>0.03</v>
      </c>
      <c r="T20" s="17">
        <f t="shared" si="0"/>
        <v>0.03</v>
      </c>
      <c r="U20" s="17">
        <f t="shared" si="0"/>
        <v>0.03</v>
      </c>
      <c r="V20" s="18">
        <f t="shared" si="0"/>
        <v>0.03</v>
      </c>
    </row>
    <row r="21" spans="1:22" s="5" customFormat="1" ht="20.100000000000001" customHeight="1" thickBot="1">
      <c r="A21" s="11" t="s">
        <v>386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04"/>
      <c r="O21" s="104"/>
      <c r="P21" s="104"/>
      <c r="Q21" s="104"/>
      <c r="R21" s="104"/>
      <c r="S21" s="104"/>
      <c r="T21" s="104"/>
      <c r="U21" s="104"/>
      <c r="V21" s="105"/>
    </row>
    <row r="22" spans="1:22" s="5" customFormat="1" ht="13.5" thickTop="1">
      <c r="A22" s="3"/>
      <c r="B22" s="3"/>
      <c r="C22" s="3"/>
      <c r="D22" s="3"/>
      <c r="E22" s="3"/>
      <c r="F22" s="3" t="s">
        <v>108</v>
      </c>
      <c r="G22" s="3"/>
      <c r="H22" s="3"/>
      <c r="I22" s="3"/>
      <c r="J22" s="3"/>
      <c r="K22" s="3"/>
      <c r="L22" s="3"/>
      <c r="M22" s="3"/>
      <c r="N22" s="42"/>
      <c r="O22" s="42"/>
      <c r="P22" s="42"/>
      <c r="Q22" s="42"/>
      <c r="R22" s="42"/>
      <c r="S22" s="42"/>
      <c r="T22" s="42"/>
      <c r="U22" s="42"/>
      <c r="V22" s="42"/>
    </row>
    <row r="23" spans="1:22" s="5" customFormat="1">
      <c r="A23" s="3"/>
      <c r="B23" s="3">
        <v>0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>
        <v>11</v>
      </c>
      <c r="N23" s="3">
        <v>12</v>
      </c>
      <c r="O23" s="3">
        <v>13</v>
      </c>
      <c r="P23" s="3">
        <v>14</v>
      </c>
      <c r="Q23" s="3">
        <v>15</v>
      </c>
      <c r="R23" s="3">
        <v>16</v>
      </c>
      <c r="S23" s="3">
        <v>17</v>
      </c>
      <c r="T23" s="3">
        <v>18</v>
      </c>
      <c r="U23" s="3">
        <v>19</v>
      </c>
      <c r="V23" s="3">
        <v>20</v>
      </c>
    </row>
    <row r="24" spans="1:22" s="5" customFormat="1">
      <c r="A24" s="3" t="s">
        <v>109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2"/>
      <c r="O24" s="42"/>
      <c r="P24" s="42"/>
      <c r="Q24" s="42"/>
      <c r="R24" s="42"/>
      <c r="S24" s="42"/>
      <c r="T24" s="42"/>
      <c r="U24" s="42"/>
      <c r="V24" s="42"/>
    </row>
    <row r="25" spans="1:22" s="5" customFormat="1">
      <c r="A25" s="37" t="s">
        <v>110</v>
      </c>
      <c r="B25" s="38" t="e">
        <f>C4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2"/>
      <c r="O25" s="42"/>
      <c r="P25" s="42"/>
      <c r="Q25" s="42"/>
      <c r="R25" s="42"/>
      <c r="S25" s="42"/>
      <c r="T25" s="42"/>
      <c r="U25" s="42"/>
      <c r="V25" s="42"/>
    </row>
    <row r="26" spans="1:22" s="5" customFormat="1">
      <c r="A26" s="37" t="s">
        <v>111</v>
      </c>
      <c r="B26" s="38" t="e">
        <f>C4*C9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2"/>
      <c r="O26" s="42"/>
      <c r="P26" s="42"/>
      <c r="Q26" s="42"/>
      <c r="R26" s="42"/>
      <c r="S26" s="42"/>
      <c r="T26" s="42"/>
      <c r="U26" s="42"/>
      <c r="V26" s="42"/>
    </row>
    <row r="27" spans="1:22" s="5" customFormat="1">
      <c r="A27" s="37" t="s">
        <v>112</v>
      </c>
      <c r="B27" s="38" t="e">
        <f>B25-B26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2"/>
      <c r="O27" s="42"/>
      <c r="P27" s="42"/>
      <c r="Q27" s="42"/>
      <c r="R27" s="42"/>
      <c r="S27" s="42"/>
      <c r="T27" s="42"/>
      <c r="U27" s="42"/>
      <c r="V27" s="42"/>
    </row>
    <row r="28" spans="1:22" s="5" customFormat="1">
      <c r="A28" s="37" t="s">
        <v>113</v>
      </c>
      <c r="B28" s="38">
        <f>C13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2"/>
      <c r="O28" s="42"/>
      <c r="P28" s="42"/>
      <c r="Q28" s="42"/>
      <c r="R28" s="42"/>
      <c r="S28" s="42"/>
      <c r="T28" s="42"/>
      <c r="U28" s="42"/>
      <c r="V28" s="42"/>
    </row>
    <row r="29" spans="1:22" s="5" customFormat="1">
      <c r="A29" s="37" t="s">
        <v>114</v>
      </c>
      <c r="B29" s="38" t="e">
        <f>C5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2"/>
      <c r="O29" s="42"/>
      <c r="P29" s="42"/>
      <c r="Q29" s="42"/>
      <c r="R29" s="42"/>
      <c r="S29" s="42"/>
      <c r="T29" s="42"/>
      <c r="U29" s="42"/>
      <c r="V29" s="42"/>
    </row>
    <row r="30" spans="1:22" s="5" customFormat="1">
      <c r="A30" s="37" t="s">
        <v>115</v>
      </c>
      <c r="B30" s="38">
        <f>C10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2"/>
      <c r="O30" s="42"/>
      <c r="P30" s="42"/>
      <c r="Q30" s="42"/>
      <c r="R30" s="42"/>
      <c r="S30" s="42"/>
      <c r="T30" s="42"/>
      <c r="U30" s="42"/>
      <c r="V30" s="42"/>
    </row>
    <row r="31" spans="1:22" s="5" customFormat="1">
      <c r="A31" s="37" t="s">
        <v>116</v>
      </c>
      <c r="B31" s="38" t="e">
        <f>B27+B28+B29+B30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2"/>
      <c r="O31" s="42"/>
      <c r="P31" s="42"/>
      <c r="Q31" s="42"/>
      <c r="R31" s="42"/>
      <c r="S31" s="42"/>
      <c r="T31" s="42"/>
      <c r="U31" s="42"/>
      <c r="V31" s="42"/>
    </row>
    <row r="32" spans="1:22" s="5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2"/>
      <c r="O32" s="42"/>
      <c r="P32" s="42"/>
      <c r="Q32" s="42"/>
      <c r="R32" s="42"/>
      <c r="S32" s="42"/>
      <c r="T32" s="42"/>
      <c r="U32" s="42"/>
      <c r="V32" s="42"/>
    </row>
    <row r="33" spans="1:22" s="5" customFormat="1">
      <c r="A33" s="3" t="s">
        <v>117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2"/>
      <c r="O33" s="42"/>
      <c r="P33" s="42"/>
      <c r="Q33" s="42"/>
      <c r="R33" s="42"/>
      <c r="S33" s="42"/>
      <c r="T33" s="42"/>
      <c r="U33" s="42"/>
      <c r="V33" s="42"/>
    </row>
    <row r="34" spans="1:22" s="5" customFormat="1">
      <c r="A34" s="3" t="s">
        <v>118</v>
      </c>
      <c r="B34" s="3"/>
      <c r="C34" s="19">
        <f>IF(C23=$C$6,$C$7,0)</f>
        <v>0</v>
      </c>
      <c r="D34" s="19">
        <f t="shared" ref="D34:V34" si="1">IF(D23=$C$6,$C$7,0)</f>
        <v>0</v>
      </c>
      <c r="E34" s="19">
        <f t="shared" si="1"/>
        <v>0</v>
      </c>
      <c r="F34" s="19">
        <f t="shared" si="1"/>
        <v>0</v>
      </c>
      <c r="G34" s="19">
        <f t="shared" si="1"/>
        <v>0</v>
      </c>
      <c r="H34" s="19">
        <f t="shared" si="1"/>
        <v>0</v>
      </c>
      <c r="I34" s="19">
        <f t="shared" si="1"/>
        <v>0</v>
      </c>
      <c r="J34" s="19">
        <f t="shared" si="1"/>
        <v>0</v>
      </c>
      <c r="K34" s="19">
        <f t="shared" si="1"/>
        <v>0</v>
      </c>
      <c r="L34" s="19">
        <f t="shared" si="1"/>
        <v>0</v>
      </c>
      <c r="M34" s="19">
        <f t="shared" si="1"/>
        <v>0</v>
      </c>
      <c r="N34" s="19">
        <f t="shared" si="1"/>
        <v>0</v>
      </c>
      <c r="O34" s="19">
        <f t="shared" si="1"/>
        <v>0</v>
      </c>
      <c r="P34" s="19">
        <f t="shared" si="1"/>
        <v>0</v>
      </c>
      <c r="Q34" s="19">
        <f t="shared" si="1"/>
        <v>0</v>
      </c>
      <c r="R34" s="19">
        <f t="shared" si="1"/>
        <v>0</v>
      </c>
      <c r="S34" s="19">
        <f t="shared" si="1"/>
        <v>0</v>
      </c>
      <c r="T34" s="19">
        <f t="shared" si="1"/>
        <v>0</v>
      </c>
      <c r="U34" s="19">
        <f t="shared" si="1"/>
        <v>0</v>
      </c>
      <c r="V34" s="19">
        <f t="shared" si="1"/>
        <v>0</v>
      </c>
    </row>
    <row r="35" spans="1:22" s="5" customFormat="1">
      <c r="A35" s="3" t="s">
        <v>119</v>
      </c>
      <c r="B35" s="3"/>
      <c r="C35" s="19">
        <f t="shared" ref="C35:V35" si="2">IF(C23=$C$6,($C$13+SUM($C$48:$V$48))*$C$15,0)</f>
        <v>0</v>
      </c>
      <c r="D35" s="19">
        <f t="shared" si="2"/>
        <v>0</v>
      </c>
      <c r="E35" s="19">
        <f t="shared" si="2"/>
        <v>0</v>
      </c>
      <c r="F35" s="19">
        <f t="shared" si="2"/>
        <v>0</v>
      </c>
      <c r="G35" s="19">
        <f t="shared" si="2"/>
        <v>0</v>
      </c>
      <c r="H35" s="19">
        <f t="shared" si="2"/>
        <v>0</v>
      </c>
      <c r="I35" s="19">
        <f t="shared" si="2"/>
        <v>0</v>
      </c>
      <c r="J35" s="19">
        <f t="shared" si="2"/>
        <v>0</v>
      </c>
      <c r="K35" s="19">
        <f t="shared" si="2"/>
        <v>0</v>
      </c>
      <c r="L35" s="19" t="e">
        <f t="shared" si="2"/>
        <v>#REF!</v>
      </c>
      <c r="M35" s="19">
        <f t="shared" si="2"/>
        <v>0</v>
      </c>
      <c r="N35" s="19">
        <f t="shared" si="2"/>
        <v>0</v>
      </c>
      <c r="O35" s="19">
        <f t="shared" si="2"/>
        <v>0</v>
      </c>
      <c r="P35" s="19">
        <f t="shared" si="2"/>
        <v>0</v>
      </c>
      <c r="Q35" s="19">
        <f t="shared" si="2"/>
        <v>0</v>
      </c>
      <c r="R35" s="19">
        <f t="shared" si="2"/>
        <v>0</v>
      </c>
      <c r="S35" s="19">
        <f t="shared" si="2"/>
        <v>0</v>
      </c>
      <c r="T35" s="19">
        <f t="shared" si="2"/>
        <v>0</v>
      </c>
      <c r="U35" s="19">
        <f t="shared" si="2"/>
        <v>0</v>
      </c>
      <c r="V35" s="19">
        <f t="shared" si="2"/>
        <v>0</v>
      </c>
    </row>
    <row r="36" spans="1:22" s="5" customFormat="1" ht="13.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2"/>
      <c r="O36" s="42"/>
      <c r="P36" s="42"/>
      <c r="Q36" s="42"/>
      <c r="R36" s="42"/>
      <c r="S36" s="42"/>
      <c r="T36" s="42"/>
      <c r="U36" s="42"/>
      <c r="V36" s="42"/>
    </row>
    <row r="37" spans="1:22" s="5" customFormat="1">
      <c r="A37" s="20" t="s">
        <v>120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106"/>
      <c r="O37" s="106"/>
      <c r="P37" s="106"/>
      <c r="Q37" s="106"/>
      <c r="R37" s="106"/>
      <c r="S37" s="106"/>
      <c r="T37" s="106"/>
      <c r="U37" s="106"/>
      <c r="V37" s="107"/>
    </row>
    <row r="38" spans="1:22" s="5" customFormat="1">
      <c r="A38" s="23" t="s">
        <v>121</v>
      </c>
      <c r="B38" s="3"/>
      <c r="C38" s="3">
        <f>IF(C23&gt;$C$6,0,1)</f>
        <v>1</v>
      </c>
      <c r="D38" s="3">
        <f t="shared" ref="D38:V38" si="3">IF(D23&gt;$C$6,0,1)</f>
        <v>1</v>
      </c>
      <c r="E38" s="3">
        <f t="shared" si="3"/>
        <v>1</v>
      </c>
      <c r="F38" s="3">
        <f t="shared" si="3"/>
        <v>1</v>
      </c>
      <c r="G38" s="3">
        <f t="shared" si="3"/>
        <v>1</v>
      </c>
      <c r="H38" s="3">
        <f t="shared" si="3"/>
        <v>1</v>
      </c>
      <c r="I38" s="3">
        <f t="shared" si="3"/>
        <v>1</v>
      </c>
      <c r="J38" s="3">
        <f t="shared" si="3"/>
        <v>1</v>
      </c>
      <c r="K38" s="3">
        <f t="shared" si="3"/>
        <v>1</v>
      </c>
      <c r="L38" s="3">
        <f t="shared" si="3"/>
        <v>1</v>
      </c>
      <c r="M38" s="3">
        <f t="shared" si="3"/>
        <v>0</v>
      </c>
      <c r="N38" s="3">
        <f t="shared" si="3"/>
        <v>0</v>
      </c>
      <c r="O38" s="3">
        <f t="shared" si="3"/>
        <v>0</v>
      </c>
      <c r="P38" s="3">
        <f t="shared" si="3"/>
        <v>0</v>
      </c>
      <c r="Q38" s="3">
        <f t="shared" si="3"/>
        <v>0</v>
      </c>
      <c r="R38" s="3">
        <f t="shared" si="3"/>
        <v>0</v>
      </c>
      <c r="S38" s="3">
        <f t="shared" si="3"/>
        <v>0</v>
      </c>
      <c r="T38" s="3">
        <f t="shared" si="3"/>
        <v>0</v>
      </c>
      <c r="U38" s="3">
        <f t="shared" si="3"/>
        <v>0</v>
      </c>
      <c r="V38" s="24">
        <f t="shared" si="3"/>
        <v>0</v>
      </c>
    </row>
    <row r="39" spans="1:22" s="5" customFormat="1">
      <c r="A39" s="23" t="s">
        <v>98</v>
      </c>
      <c r="B39" s="19"/>
      <c r="C39" s="19" t="e">
        <f>G4</f>
        <v>#REF!</v>
      </c>
      <c r="D39" s="19" t="e">
        <f>C39*(1+D19)*D38</f>
        <v>#REF!</v>
      </c>
      <c r="E39" s="19" t="e">
        <f t="shared" ref="E39:V39" si="4">D39*(1+E19)*E38</f>
        <v>#REF!</v>
      </c>
      <c r="F39" s="19" t="e">
        <f t="shared" si="4"/>
        <v>#REF!</v>
      </c>
      <c r="G39" s="19" t="e">
        <f t="shared" si="4"/>
        <v>#REF!</v>
      </c>
      <c r="H39" s="19" t="e">
        <f t="shared" si="4"/>
        <v>#REF!</v>
      </c>
      <c r="I39" s="19" t="e">
        <f t="shared" si="4"/>
        <v>#REF!</v>
      </c>
      <c r="J39" s="19" t="e">
        <f t="shared" si="4"/>
        <v>#REF!</v>
      </c>
      <c r="K39" s="19" t="e">
        <f t="shared" si="4"/>
        <v>#REF!</v>
      </c>
      <c r="L39" s="19" t="e">
        <f t="shared" si="4"/>
        <v>#REF!</v>
      </c>
      <c r="M39" s="19" t="e">
        <f t="shared" si="4"/>
        <v>#REF!</v>
      </c>
      <c r="N39" s="19" t="e">
        <f t="shared" si="4"/>
        <v>#REF!</v>
      </c>
      <c r="O39" s="19" t="e">
        <f t="shared" si="4"/>
        <v>#REF!</v>
      </c>
      <c r="P39" s="19" t="e">
        <f t="shared" si="4"/>
        <v>#REF!</v>
      </c>
      <c r="Q39" s="19" t="e">
        <f t="shared" si="4"/>
        <v>#REF!</v>
      </c>
      <c r="R39" s="19" t="e">
        <f t="shared" si="4"/>
        <v>#REF!</v>
      </c>
      <c r="S39" s="19" t="e">
        <f t="shared" si="4"/>
        <v>#REF!</v>
      </c>
      <c r="T39" s="19" t="e">
        <f t="shared" si="4"/>
        <v>#REF!</v>
      </c>
      <c r="U39" s="19" t="e">
        <f t="shared" si="4"/>
        <v>#REF!</v>
      </c>
      <c r="V39" s="25" t="e">
        <f t="shared" si="4"/>
        <v>#REF!</v>
      </c>
    </row>
    <row r="40" spans="1:22" s="5" customFormat="1">
      <c r="A40" s="23" t="s">
        <v>387</v>
      </c>
      <c r="B40" s="19"/>
      <c r="C40" s="19" t="e">
        <f>C39*$G$5</f>
        <v>#REF!</v>
      </c>
      <c r="D40" s="19" t="e">
        <f t="shared" ref="D40:V40" si="5">D39*$G$5</f>
        <v>#REF!</v>
      </c>
      <c r="E40" s="19" t="e">
        <f t="shared" si="5"/>
        <v>#REF!</v>
      </c>
      <c r="F40" s="19" t="e">
        <f t="shared" si="5"/>
        <v>#REF!</v>
      </c>
      <c r="G40" s="19" t="e">
        <f t="shared" si="5"/>
        <v>#REF!</v>
      </c>
      <c r="H40" s="19" t="e">
        <f t="shared" si="5"/>
        <v>#REF!</v>
      </c>
      <c r="I40" s="19" t="e">
        <f t="shared" si="5"/>
        <v>#REF!</v>
      </c>
      <c r="J40" s="19" t="e">
        <f t="shared" si="5"/>
        <v>#REF!</v>
      </c>
      <c r="K40" s="19" t="e">
        <f t="shared" si="5"/>
        <v>#REF!</v>
      </c>
      <c r="L40" s="19" t="e">
        <f t="shared" si="5"/>
        <v>#REF!</v>
      </c>
      <c r="M40" s="19" t="e">
        <f t="shared" si="5"/>
        <v>#REF!</v>
      </c>
      <c r="N40" s="19" t="e">
        <f t="shared" si="5"/>
        <v>#REF!</v>
      </c>
      <c r="O40" s="19" t="e">
        <f t="shared" si="5"/>
        <v>#REF!</v>
      </c>
      <c r="P40" s="19" t="e">
        <f t="shared" si="5"/>
        <v>#REF!</v>
      </c>
      <c r="Q40" s="19" t="e">
        <f t="shared" si="5"/>
        <v>#REF!</v>
      </c>
      <c r="R40" s="19" t="e">
        <f t="shared" si="5"/>
        <v>#REF!</v>
      </c>
      <c r="S40" s="19" t="e">
        <f t="shared" si="5"/>
        <v>#REF!</v>
      </c>
      <c r="T40" s="19" t="e">
        <f t="shared" si="5"/>
        <v>#REF!</v>
      </c>
      <c r="U40" s="19" t="e">
        <f t="shared" si="5"/>
        <v>#REF!</v>
      </c>
      <c r="V40" s="25" t="e">
        <f t="shared" si="5"/>
        <v>#REF!</v>
      </c>
    </row>
    <row r="41" spans="1:22" s="5" customFormat="1">
      <c r="A41" s="23" t="s">
        <v>388</v>
      </c>
      <c r="B41" s="19"/>
      <c r="C41" s="19" t="e">
        <f>G6</f>
        <v>#REF!</v>
      </c>
      <c r="D41" s="19" t="e">
        <f>C41*(1+D20)*D38</f>
        <v>#REF!</v>
      </c>
      <c r="E41" s="19" t="e">
        <f t="shared" ref="E41:V41" si="6">D41*(1+E20)*E38</f>
        <v>#REF!</v>
      </c>
      <c r="F41" s="19" t="e">
        <f t="shared" si="6"/>
        <v>#REF!</v>
      </c>
      <c r="G41" s="19" t="e">
        <f t="shared" si="6"/>
        <v>#REF!</v>
      </c>
      <c r="H41" s="19" t="e">
        <f t="shared" si="6"/>
        <v>#REF!</v>
      </c>
      <c r="I41" s="19" t="e">
        <f t="shared" si="6"/>
        <v>#REF!</v>
      </c>
      <c r="J41" s="19" t="e">
        <f t="shared" si="6"/>
        <v>#REF!</v>
      </c>
      <c r="K41" s="19" t="e">
        <f t="shared" si="6"/>
        <v>#REF!</v>
      </c>
      <c r="L41" s="19" t="e">
        <f t="shared" si="6"/>
        <v>#REF!</v>
      </c>
      <c r="M41" s="19" t="e">
        <f t="shared" si="6"/>
        <v>#REF!</v>
      </c>
      <c r="N41" s="19" t="e">
        <f t="shared" si="6"/>
        <v>#REF!</v>
      </c>
      <c r="O41" s="19" t="e">
        <f t="shared" si="6"/>
        <v>#REF!</v>
      </c>
      <c r="P41" s="19" t="e">
        <f t="shared" si="6"/>
        <v>#REF!</v>
      </c>
      <c r="Q41" s="19" t="e">
        <f t="shared" si="6"/>
        <v>#REF!</v>
      </c>
      <c r="R41" s="19" t="e">
        <f t="shared" si="6"/>
        <v>#REF!</v>
      </c>
      <c r="S41" s="19" t="e">
        <f t="shared" si="6"/>
        <v>#REF!</v>
      </c>
      <c r="T41" s="19" t="e">
        <f t="shared" si="6"/>
        <v>#REF!</v>
      </c>
      <c r="U41" s="19" t="e">
        <f t="shared" si="6"/>
        <v>#REF!</v>
      </c>
      <c r="V41" s="25" t="e">
        <f t="shared" si="6"/>
        <v>#REF!</v>
      </c>
    </row>
    <row r="42" spans="1:22" s="5" customFormat="1">
      <c r="A42" s="23" t="s">
        <v>123</v>
      </c>
      <c r="B42" s="19"/>
      <c r="C42" s="19" t="e">
        <f>C39-C40-C41</f>
        <v>#REF!</v>
      </c>
      <c r="D42" s="19" t="e">
        <f t="shared" ref="D42:V42" si="7">D39-D40-D41</f>
        <v>#REF!</v>
      </c>
      <c r="E42" s="19" t="e">
        <f t="shared" si="7"/>
        <v>#REF!</v>
      </c>
      <c r="F42" s="19" t="e">
        <f t="shared" si="7"/>
        <v>#REF!</v>
      </c>
      <c r="G42" s="19" t="e">
        <f t="shared" si="7"/>
        <v>#REF!</v>
      </c>
      <c r="H42" s="19" t="e">
        <f t="shared" si="7"/>
        <v>#REF!</v>
      </c>
      <c r="I42" s="19" t="e">
        <f t="shared" si="7"/>
        <v>#REF!</v>
      </c>
      <c r="J42" s="19" t="e">
        <f t="shared" si="7"/>
        <v>#REF!</v>
      </c>
      <c r="K42" s="19" t="e">
        <f t="shared" si="7"/>
        <v>#REF!</v>
      </c>
      <c r="L42" s="19" t="e">
        <f t="shared" si="7"/>
        <v>#REF!</v>
      </c>
      <c r="M42" s="19" t="e">
        <f t="shared" si="7"/>
        <v>#REF!</v>
      </c>
      <c r="N42" s="19" t="e">
        <f t="shared" si="7"/>
        <v>#REF!</v>
      </c>
      <c r="O42" s="19" t="e">
        <f t="shared" si="7"/>
        <v>#REF!</v>
      </c>
      <c r="P42" s="19" t="e">
        <f t="shared" si="7"/>
        <v>#REF!</v>
      </c>
      <c r="Q42" s="19" t="e">
        <f t="shared" si="7"/>
        <v>#REF!</v>
      </c>
      <c r="R42" s="19" t="e">
        <f t="shared" si="7"/>
        <v>#REF!</v>
      </c>
      <c r="S42" s="19" t="e">
        <f t="shared" si="7"/>
        <v>#REF!</v>
      </c>
      <c r="T42" s="19" t="e">
        <f t="shared" si="7"/>
        <v>#REF!</v>
      </c>
      <c r="U42" s="19" t="e">
        <f t="shared" si="7"/>
        <v>#REF!</v>
      </c>
      <c r="V42" s="25" t="e">
        <f t="shared" si="7"/>
        <v>#REF!</v>
      </c>
    </row>
    <row r="43" spans="1:22" s="5" customFormat="1">
      <c r="A43" s="23" t="s">
        <v>124</v>
      </c>
      <c r="B43" s="19"/>
      <c r="C43" s="19" t="e">
        <f t="shared" ref="C43:V43" si="8">C61</f>
        <v>#REF!</v>
      </c>
      <c r="D43" s="19" t="e">
        <f t="shared" si="8"/>
        <v>#REF!</v>
      </c>
      <c r="E43" s="19" t="e">
        <f t="shared" si="8"/>
        <v>#REF!</v>
      </c>
      <c r="F43" s="19" t="e">
        <f t="shared" si="8"/>
        <v>#REF!</v>
      </c>
      <c r="G43" s="19" t="e">
        <f t="shared" si="8"/>
        <v>#REF!</v>
      </c>
      <c r="H43" s="19" t="e">
        <f t="shared" si="8"/>
        <v>#REF!</v>
      </c>
      <c r="I43" s="19" t="e">
        <f t="shared" si="8"/>
        <v>#REF!</v>
      </c>
      <c r="J43" s="19" t="e">
        <f t="shared" si="8"/>
        <v>#REF!</v>
      </c>
      <c r="K43" s="19" t="e">
        <f t="shared" si="8"/>
        <v>#REF!</v>
      </c>
      <c r="L43" s="19" t="e">
        <f t="shared" si="8"/>
        <v>#REF!</v>
      </c>
      <c r="M43" s="19" t="e">
        <f t="shared" si="8"/>
        <v>#REF!</v>
      </c>
      <c r="N43" s="19" t="e">
        <f t="shared" si="8"/>
        <v>#REF!</v>
      </c>
      <c r="O43" s="19" t="e">
        <f t="shared" si="8"/>
        <v>#REF!</v>
      </c>
      <c r="P43" s="19" t="e">
        <f t="shared" si="8"/>
        <v>#REF!</v>
      </c>
      <c r="Q43" s="19" t="e">
        <f t="shared" si="8"/>
        <v>#REF!</v>
      </c>
      <c r="R43" s="19" t="e">
        <f t="shared" si="8"/>
        <v>#REF!</v>
      </c>
      <c r="S43" s="19" t="e">
        <f t="shared" si="8"/>
        <v>#REF!</v>
      </c>
      <c r="T43" s="19" t="e">
        <f t="shared" si="8"/>
        <v>#REF!</v>
      </c>
      <c r="U43" s="19" t="e">
        <f t="shared" si="8"/>
        <v>#REF!</v>
      </c>
      <c r="V43" s="25" t="e">
        <f t="shared" si="8"/>
        <v>#REF!</v>
      </c>
    </row>
    <row r="44" spans="1:22" s="5" customFormat="1">
      <c r="A44" s="23" t="s">
        <v>125</v>
      </c>
      <c r="B44" s="19"/>
      <c r="C44" s="19" t="e">
        <f>C42-C43</f>
        <v>#REF!</v>
      </c>
      <c r="D44" s="19" t="e">
        <f t="shared" ref="D44:V44" si="9">D42-D43</f>
        <v>#REF!</v>
      </c>
      <c r="E44" s="19" t="e">
        <f t="shared" si="9"/>
        <v>#REF!</v>
      </c>
      <c r="F44" s="19" t="e">
        <f t="shared" si="9"/>
        <v>#REF!</v>
      </c>
      <c r="G44" s="19" t="e">
        <f t="shared" si="9"/>
        <v>#REF!</v>
      </c>
      <c r="H44" s="19" t="e">
        <f t="shared" si="9"/>
        <v>#REF!</v>
      </c>
      <c r="I44" s="19" t="e">
        <f t="shared" si="9"/>
        <v>#REF!</v>
      </c>
      <c r="J44" s="19" t="e">
        <f t="shared" si="9"/>
        <v>#REF!</v>
      </c>
      <c r="K44" s="19" t="e">
        <f t="shared" si="9"/>
        <v>#REF!</v>
      </c>
      <c r="L44" s="19" t="e">
        <f t="shared" si="9"/>
        <v>#REF!</v>
      </c>
      <c r="M44" s="19" t="e">
        <f t="shared" si="9"/>
        <v>#REF!</v>
      </c>
      <c r="N44" s="19" t="e">
        <f t="shared" si="9"/>
        <v>#REF!</v>
      </c>
      <c r="O44" s="19" t="e">
        <f t="shared" si="9"/>
        <v>#REF!</v>
      </c>
      <c r="P44" s="19" t="e">
        <f t="shared" si="9"/>
        <v>#REF!</v>
      </c>
      <c r="Q44" s="19" t="e">
        <f t="shared" si="9"/>
        <v>#REF!</v>
      </c>
      <c r="R44" s="19" t="e">
        <f t="shared" si="9"/>
        <v>#REF!</v>
      </c>
      <c r="S44" s="19" t="e">
        <f t="shared" si="9"/>
        <v>#REF!</v>
      </c>
      <c r="T44" s="19" t="e">
        <f t="shared" si="9"/>
        <v>#REF!</v>
      </c>
      <c r="U44" s="19" t="e">
        <f t="shared" si="9"/>
        <v>#REF!</v>
      </c>
      <c r="V44" s="25" t="e">
        <f t="shared" si="9"/>
        <v>#REF!</v>
      </c>
    </row>
    <row r="45" spans="1:22" s="5" customFormat="1">
      <c r="A45" s="23" t="s">
        <v>126</v>
      </c>
      <c r="B45" s="19"/>
      <c r="C45" s="19" t="e">
        <f>C44*$G$7</f>
        <v>#REF!</v>
      </c>
      <c r="D45" s="19" t="e">
        <f t="shared" ref="D45:V45" si="10">D44*$G$7</f>
        <v>#REF!</v>
      </c>
      <c r="E45" s="19" t="e">
        <f t="shared" si="10"/>
        <v>#REF!</v>
      </c>
      <c r="F45" s="19" t="e">
        <f t="shared" si="10"/>
        <v>#REF!</v>
      </c>
      <c r="G45" s="19" t="e">
        <f t="shared" si="10"/>
        <v>#REF!</v>
      </c>
      <c r="H45" s="19" t="e">
        <f t="shared" si="10"/>
        <v>#REF!</v>
      </c>
      <c r="I45" s="19" t="e">
        <f t="shared" si="10"/>
        <v>#REF!</v>
      </c>
      <c r="J45" s="19" t="e">
        <f t="shared" si="10"/>
        <v>#REF!</v>
      </c>
      <c r="K45" s="19" t="e">
        <f t="shared" si="10"/>
        <v>#REF!</v>
      </c>
      <c r="L45" s="19" t="e">
        <f t="shared" si="10"/>
        <v>#REF!</v>
      </c>
      <c r="M45" s="19" t="e">
        <f t="shared" si="10"/>
        <v>#REF!</v>
      </c>
      <c r="N45" s="19" t="e">
        <f t="shared" si="10"/>
        <v>#REF!</v>
      </c>
      <c r="O45" s="19" t="e">
        <f t="shared" si="10"/>
        <v>#REF!</v>
      </c>
      <c r="P45" s="19" t="e">
        <f t="shared" si="10"/>
        <v>#REF!</v>
      </c>
      <c r="Q45" s="19" t="e">
        <f t="shared" si="10"/>
        <v>#REF!</v>
      </c>
      <c r="R45" s="19" t="e">
        <f t="shared" si="10"/>
        <v>#REF!</v>
      </c>
      <c r="S45" s="19" t="e">
        <f t="shared" si="10"/>
        <v>#REF!</v>
      </c>
      <c r="T45" s="19" t="e">
        <f t="shared" si="10"/>
        <v>#REF!</v>
      </c>
      <c r="U45" s="19" t="e">
        <f t="shared" si="10"/>
        <v>#REF!</v>
      </c>
      <c r="V45" s="25" t="e">
        <f t="shared" si="10"/>
        <v>#REF!</v>
      </c>
    </row>
    <row r="46" spans="1:22" s="5" customFormat="1">
      <c r="A46" s="23" t="s">
        <v>127</v>
      </c>
      <c r="B46" s="19"/>
      <c r="C46" s="19" t="e">
        <f t="shared" ref="C46:V46" si="11">C44-C45</f>
        <v>#REF!</v>
      </c>
      <c r="D46" s="19" t="e">
        <f t="shared" si="11"/>
        <v>#REF!</v>
      </c>
      <c r="E46" s="19" t="e">
        <f t="shared" si="11"/>
        <v>#REF!</v>
      </c>
      <c r="F46" s="19" t="e">
        <f t="shared" si="11"/>
        <v>#REF!</v>
      </c>
      <c r="G46" s="19" t="e">
        <f t="shared" si="11"/>
        <v>#REF!</v>
      </c>
      <c r="H46" s="19" t="e">
        <f t="shared" si="11"/>
        <v>#REF!</v>
      </c>
      <c r="I46" s="19" t="e">
        <f t="shared" si="11"/>
        <v>#REF!</v>
      </c>
      <c r="J46" s="19" t="e">
        <f t="shared" si="11"/>
        <v>#REF!</v>
      </c>
      <c r="K46" s="19" t="e">
        <f t="shared" si="11"/>
        <v>#REF!</v>
      </c>
      <c r="L46" s="19" t="e">
        <f t="shared" si="11"/>
        <v>#REF!</v>
      </c>
      <c r="M46" s="19" t="e">
        <f t="shared" si="11"/>
        <v>#REF!</v>
      </c>
      <c r="N46" s="19" t="e">
        <f t="shared" si="11"/>
        <v>#REF!</v>
      </c>
      <c r="O46" s="19" t="e">
        <f t="shared" si="11"/>
        <v>#REF!</v>
      </c>
      <c r="P46" s="19" t="e">
        <f t="shared" si="11"/>
        <v>#REF!</v>
      </c>
      <c r="Q46" s="19" t="e">
        <f t="shared" si="11"/>
        <v>#REF!</v>
      </c>
      <c r="R46" s="19" t="e">
        <f t="shared" si="11"/>
        <v>#REF!</v>
      </c>
      <c r="S46" s="19" t="e">
        <f t="shared" si="11"/>
        <v>#REF!</v>
      </c>
      <c r="T46" s="19" t="e">
        <f t="shared" si="11"/>
        <v>#REF!</v>
      </c>
      <c r="U46" s="19" t="e">
        <f t="shared" si="11"/>
        <v>#REF!</v>
      </c>
      <c r="V46" s="25" t="e">
        <f t="shared" si="11"/>
        <v>#REF!</v>
      </c>
    </row>
    <row r="47" spans="1:22" s="5" customFormat="1">
      <c r="A47" s="23" t="s">
        <v>128</v>
      </c>
      <c r="B47" s="19"/>
      <c r="C47" s="19" t="e">
        <f t="shared" ref="C47:V47" si="12">C43</f>
        <v>#REF!</v>
      </c>
      <c r="D47" s="19" t="e">
        <f t="shared" si="12"/>
        <v>#REF!</v>
      </c>
      <c r="E47" s="19" t="e">
        <f t="shared" si="12"/>
        <v>#REF!</v>
      </c>
      <c r="F47" s="19" t="e">
        <f t="shared" si="12"/>
        <v>#REF!</v>
      </c>
      <c r="G47" s="19" t="e">
        <f t="shared" si="12"/>
        <v>#REF!</v>
      </c>
      <c r="H47" s="19" t="e">
        <f t="shared" si="12"/>
        <v>#REF!</v>
      </c>
      <c r="I47" s="19" t="e">
        <f t="shared" si="12"/>
        <v>#REF!</v>
      </c>
      <c r="J47" s="19" t="e">
        <f t="shared" si="12"/>
        <v>#REF!</v>
      </c>
      <c r="K47" s="19" t="e">
        <f t="shared" si="12"/>
        <v>#REF!</v>
      </c>
      <c r="L47" s="19" t="e">
        <f t="shared" si="12"/>
        <v>#REF!</v>
      </c>
      <c r="M47" s="19" t="e">
        <f t="shared" si="12"/>
        <v>#REF!</v>
      </c>
      <c r="N47" s="19" t="e">
        <f t="shared" si="12"/>
        <v>#REF!</v>
      </c>
      <c r="O47" s="19" t="e">
        <f t="shared" si="12"/>
        <v>#REF!</v>
      </c>
      <c r="P47" s="19" t="e">
        <f t="shared" si="12"/>
        <v>#REF!</v>
      </c>
      <c r="Q47" s="19" t="e">
        <f t="shared" si="12"/>
        <v>#REF!</v>
      </c>
      <c r="R47" s="19" t="e">
        <f t="shared" si="12"/>
        <v>#REF!</v>
      </c>
      <c r="S47" s="19" t="e">
        <f t="shared" si="12"/>
        <v>#REF!</v>
      </c>
      <c r="T47" s="19" t="e">
        <f t="shared" si="12"/>
        <v>#REF!</v>
      </c>
      <c r="U47" s="19" t="e">
        <f t="shared" si="12"/>
        <v>#REF!</v>
      </c>
      <c r="V47" s="25" t="e">
        <f t="shared" si="12"/>
        <v>#REF!</v>
      </c>
    </row>
    <row r="48" spans="1:22" s="5" customFormat="1">
      <c r="A48" s="23" t="s">
        <v>129</v>
      </c>
      <c r="B48" s="19"/>
      <c r="C48" s="19" t="e">
        <f>(C14*C39-B28)*C38</f>
        <v>#REF!</v>
      </c>
      <c r="D48" s="19" t="e">
        <f t="shared" ref="D48:V48" si="13">($C$14*D39-$B$28)*D38</f>
        <v>#REF!</v>
      </c>
      <c r="E48" s="19" t="e">
        <f t="shared" si="13"/>
        <v>#REF!</v>
      </c>
      <c r="F48" s="19" t="e">
        <f t="shared" si="13"/>
        <v>#REF!</v>
      </c>
      <c r="G48" s="19" t="e">
        <f t="shared" si="13"/>
        <v>#REF!</v>
      </c>
      <c r="H48" s="19" t="e">
        <f t="shared" si="13"/>
        <v>#REF!</v>
      </c>
      <c r="I48" s="19" t="e">
        <f t="shared" si="13"/>
        <v>#REF!</v>
      </c>
      <c r="J48" s="19" t="e">
        <f t="shared" si="13"/>
        <v>#REF!</v>
      </c>
      <c r="K48" s="19" t="e">
        <f t="shared" si="13"/>
        <v>#REF!</v>
      </c>
      <c r="L48" s="19" t="e">
        <f t="shared" si="13"/>
        <v>#REF!</v>
      </c>
      <c r="M48" s="19" t="e">
        <f t="shared" si="13"/>
        <v>#REF!</v>
      </c>
      <c r="N48" s="19" t="e">
        <f t="shared" si="13"/>
        <v>#REF!</v>
      </c>
      <c r="O48" s="19" t="e">
        <f t="shared" si="13"/>
        <v>#REF!</v>
      </c>
      <c r="P48" s="19" t="e">
        <f t="shared" si="13"/>
        <v>#REF!</v>
      </c>
      <c r="Q48" s="19" t="e">
        <f t="shared" si="13"/>
        <v>#REF!</v>
      </c>
      <c r="R48" s="19" t="e">
        <f t="shared" si="13"/>
        <v>#REF!</v>
      </c>
      <c r="S48" s="19" t="e">
        <f t="shared" si="13"/>
        <v>#REF!</v>
      </c>
      <c r="T48" s="19" t="e">
        <f t="shared" si="13"/>
        <v>#REF!</v>
      </c>
      <c r="U48" s="19" t="e">
        <f t="shared" si="13"/>
        <v>#REF!</v>
      </c>
      <c r="V48" s="25" t="e">
        <f t="shared" si="13"/>
        <v>#REF!</v>
      </c>
    </row>
    <row r="49" spans="1:22" s="5" customFormat="1">
      <c r="A49" s="23" t="s">
        <v>131</v>
      </c>
      <c r="B49" s="19" t="e">
        <f>0-B31</f>
        <v>#REF!</v>
      </c>
      <c r="C49" s="19" t="e">
        <f>C46+C47-C48</f>
        <v>#REF!</v>
      </c>
      <c r="D49" s="19" t="e">
        <f t="shared" ref="D49:V49" si="14">D46+D47-D48</f>
        <v>#REF!</v>
      </c>
      <c r="E49" s="19" t="e">
        <f t="shared" si="14"/>
        <v>#REF!</v>
      </c>
      <c r="F49" s="19" t="e">
        <f t="shared" si="14"/>
        <v>#REF!</v>
      </c>
      <c r="G49" s="19" t="e">
        <f t="shared" si="14"/>
        <v>#REF!</v>
      </c>
      <c r="H49" s="19" t="e">
        <f t="shared" si="14"/>
        <v>#REF!</v>
      </c>
      <c r="I49" s="19" t="e">
        <f t="shared" si="14"/>
        <v>#REF!</v>
      </c>
      <c r="J49" s="19" t="e">
        <f t="shared" si="14"/>
        <v>#REF!</v>
      </c>
      <c r="K49" s="19" t="e">
        <f t="shared" si="14"/>
        <v>#REF!</v>
      </c>
      <c r="L49" s="19" t="e">
        <f t="shared" si="14"/>
        <v>#REF!</v>
      </c>
      <c r="M49" s="19" t="e">
        <f t="shared" si="14"/>
        <v>#REF!</v>
      </c>
      <c r="N49" s="19" t="e">
        <f t="shared" si="14"/>
        <v>#REF!</v>
      </c>
      <c r="O49" s="19" t="e">
        <f t="shared" si="14"/>
        <v>#REF!</v>
      </c>
      <c r="P49" s="19" t="e">
        <f t="shared" si="14"/>
        <v>#REF!</v>
      </c>
      <c r="Q49" s="19" t="e">
        <f t="shared" si="14"/>
        <v>#REF!</v>
      </c>
      <c r="R49" s="19" t="e">
        <f t="shared" si="14"/>
        <v>#REF!</v>
      </c>
      <c r="S49" s="19" t="e">
        <f t="shared" si="14"/>
        <v>#REF!</v>
      </c>
      <c r="T49" s="19" t="e">
        <f t="shared" si="14"/>
        <v>#REF!</v>
      </c>
      <c r="U49" s="19" t="e">
        <f t="shared" si="14"/>
        <v>#REF!</v>
      </c>
      <c r="V49" s="25" t="e">
        <f t="shared" si="14"/>
        <v>#REF!</v>
      </c>
    </row>
    <row r="50" spans="1:22" s="5" customFormat="1">
      <c r="A50" s="23" t="s">
        <v>132</v>
      </c>
      <c r="B50" s="3">
        <f>1</f>
        <v>1</v>
      </c>
      <c r="C50" s="3" t="e">
        <f t="shared" ref="C50:V50" si="15">C38*(1+$K$11)^C23</f>
        <v>#REF!</v>
      </c>
      <c r="D50" s="3" t="e">
        <f t="shared" si="15"/>
        <v>#REF!</v>
      </c>
      <c r="E50" s="3" t="e">
        <f t="shared" si="15"/>
        <v>#REF!</v>
      </c>
      <c r="F50" s="3" t="e">
        <f t="shared" si="15"/>
        <v>#REF!</v>
      </c>
      <c r="G50" s="3" t="e">
        <f t="shared" si="15"/>
        <v>#REF!</v>
      </c>
      <c r="H50" s="3" t="e">
        <f t="shared" si="15"/>
        <v>#REF!</v>
      </c>
      <c r="I50" s="3" t="e">
        <f t="shared" si="15"/>
        <v>#REF!</v>
      </c>
      <c r="J50" s="3" t="e">
        <f t="shared" si="15"/>
        <v>#REF!</v>
      </c>
      <c r="K50" s="3" t="e">
        <f t="shared" si="15"/>
        <v>#REF!</v>
      </c>
      <c r="L50" s="3" t="e">
        <f t="shared" si="15"/>
        <v>#REF!</v>
      </c>
      <c r="M50" s="3" t="e">
        <f t="shared" si="15"/>
        <v>#REF!</v>
      </c>
      <c r="N50" s="3" t="e">
        <f t="shared" si="15"/>
        <v>#REF!</v>
      </c>
      <c r="O50" s="3" t="e">
        <f t="shared" si="15"/>
        <v>#REF!</v>
      </c>
      <c r="P50" s="3" t="e">
        <f t="shared" si="15"/>
        <v>#REF!</v>
      </c>
      <c r="Q50" s="3" t="e">
        <f t="shared" si="15"/>
        <v>#REF!</v>
      </c>
      <c r="R50" s="3" t="e">
        <f t="shared" si="15"/>
        <v>#REF!</v>
      </c>
      <c r="S50" s="3" t="e">
        <f t="shared" si="15"/>
        <v>#REF!</v>
      </c>
      <c r="T50" s="3" t="e">
        <f t="shared" si="15"/>
        <v>#REF!</v>
      </c>
      <c r="U50" s="3" t="e">
        <f t="shared" si="15"/>
        <v>#REF!</v>
      </c>
      <c r="V50" s="24" t="e">
        <f t="shared" si="15"/>
        <v>#REF!</v>
      </c>
    </row>
    <row r="51" spans="1:22" s="5" customFormat="1" ht="13.5" thickBot="1">
      <c r="A51" s="26" t="s">
        <v>133</v>
      </c>
      <c r="B51" s="27" t="e">
        <f>0-B31</f>
        <v>#REF!</v>
      </c>
      <c r="C51" s="27" t="e">
        <f t="shared" ref="C51:V51" si="16">(C49+C34+C35)/(1+$K$11)^C23</f>
        <v>#REF!</v>
      </c>
      <c r="D51" s="27" t="e">
        <f t="shared" si="16"/>
        <v>#REF!</v>
      </c>
      <c r="E51" s="27" t="e">
        <f t="shared" si="16"/>
        <v>#REF!</v>
      </c>
      <c r="F51" s="27" t="e">
        <f t="shared" si="16"/>
        <v>#REF!</v>
      </c>
      <c r="G51" s="27" t="e">
        <f t="shared" si="16"/>
        <v>#REF!</v>
      </c>
      <c r="H51" s="27" t="e">
        <f t="shared" si="16"/>
        <v>#REF!</v>
      </c>
      <c r="I51" s="27" t="e">
        <f t="shared" si="16"/>
        <v>#REF!</v>
      </c>
      <c r="J51" s="27" t="e">
        <f t="shared" si="16"/>
        <v>#REF!</v>
      </c>
      <c r="K51" s="27" t="e">
        <f t="shared" si="16"/>
        <v>#REF!</v>
      </c>
      <c r="L51" s="27" t="e">
        <f t="shared" si="16"/>
        <v>#REF!</v>
      </c>
      <c r="M51" s="27" t="e">
        <f t="shared" si="16"/>
        <v>#REF!</v>
      </c>
      <c r="N51" s="27" t="e">
        <f t="shared" si="16"/>
        <v>#REF!</v>
      </c>
      <c r="O51" s="27" t="e">
        <f t="shared" si="16"/>
        <v>#REF!</v>
      </c>
      <c r="P51" s="27" t="e">
        <f t="shared" si="16"/>
        <v>#REF!</v>
      </c>
      <c r="Q51" s="27" t="e">
        <f t="shared" si="16"/>
        <v>#REF!</v>
      </c>
      <c r="R51" s="27" t="e">
        <f t="shared" si="16"/>
        <v>#REF!</v>
      </c>
      <c r="S51" s="27" t="e">
        <f t="shared" si="16"/>
        <v>#REF!</v>
      </c>
      <c r="T51" s="27" t="e">
        <f t="shared" si="16"/>
        <v>#REF!</v>
      </c>
      <c r="U51" s="27" t="e">
        <f t="shared" si="16"/>
        <v>#REF!</v>
      </c>
      <c r="V51" s="28" t="e">
        <f t="shared" si="16"/>
        <v>#REF!</v>
      </c>
    </row>
    <row r="52" spans="1:22" s="5" customFormat="1" ht="13.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42"/>
      <c r="O52" s="42"/>
      <c r="P52" s="42"/>
      <c r="Q52" s="42"/>
      <c r="R52" s="42"/>
      <c r="S52" s="42"/>
      <c r="T52" s="42"/>
      <c r="U52" s="42"/>
      <c r="V52" s="42"/>
    </row>
    <row r="53" spans="1:22" s="5" customFormat="1" ht="13.5" thickTop="1">
      <c r="A53" s="3"/>
      <c r="B53" s="29" t="s">
        <v>135</v>
      </c>
      <c r="C53" s="30"/>
      <c r="D53" s="3"/>
      <c r="E53" s="3"/>
      <c r="F53" s="3"/>
      <c r="G53" s="3"/>
      <c r="H53" s="3"/>
      <c r="I53" s="3"/>
      <c r="J53" s="3"/>
      <c r="K53" s="3"/>
      <c r="L53" s="3"/>
      <c r="M53" s="3"/>
      <c r="N53" s="42"/>
      <c r="O53" s="42"/>
      <c r="P53" s="42"/>
      <c r="Q53" s="42"/>
      <c r="R53" s="42"/>
      <c r="S53" s="42"/>
      <c r="T53" s="42"/>
      <c r="U53" s="42"/>
      <c r="V53" s="42"/>
    </row>
    <row r="54" spans="1:22" s="5" customFormat="1">
      <c r="A54" s="3"/>
      <c r="B54" s="31" t="s">
        <v>136</v>
      </c>
      <c r="C54" s="32" t="e">
        <f>SUM(B51:V51)</f>
        <v>#REF!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42"/>
      <c r="O54" s="42"/>
      <c r="P54" s="42"/>
      <c r="Q54" s="42"/>
      <c r="R54" s="42"/>
      <c r="S54" s="42"/>
      <c r="T54" s="42"/>
      <c r="U54" s="42"/>
      <c r="V54" s="42"/>
    </row>
    <row r="55" spans="1:22" s="5" customFormat="1">
      <c r="A55" s="3"/>
      <c r="B55" s="31" t="s">
        <v>137</v>
      </c>
      <c r="C55" s="18" t="e">
        <f>IRR(B49:V49,K11)</f>
        <v>#REF!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42"/>
      <c r="O55" s="42"/>
      <c r="P55" s="42"/>
      <c r="Q55" s="42"/>
      <c r="R55" s="42"/>
      <c r="S55" s="42"/>
      <c r="T55" s="42"/>
      <c r="U55" s="42"/>
      <c r="V55" s="42"/>
    </row>
    <row r="56" spans="1:22" s="5" customFormat="1" ht="13.5" thickBot="1">
      <c r="A56" s="3"/>
      <c r="B56" s="33" t="s">
        <v>138</v>
      </c>
      <c r="C56" s="34" t="e">
        <f>SUM(C46:V46)/SUM(B62:V62)</f>
        <v>#REF!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42"/>
      <c r="O56" s="42"/>
      <c r="P56" s="42"/>
      <c r="Q56" s="42"/>
      <c r="R56" s="42"/>
      <c r="S56" s="42"/>
      <c r="T56" s="42"/>
      <c r="U56" s="42"/>
      <c r="V56" s="42"/>
    </row>
    <row r="57" spans="1:22" s="5" customFormat="1" ht="13.5" thickTop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42"/>
      <c r="O57" s="42"/>
      <c r="P57" s="42"/>
      <c r="Q57" s="42"/>
      <c r="R57" s="42"/>
      <c r="S57" s="42"/>
      <c r="T57" s="42"/>
      <c r="U57" s="42"/>
      <c r="V57" s="42"/>
    </row>
    <row r="58" spans="1:22" s="5" customForma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42"/>
      <c r="O58" s="42"/>
      <c r="P58" s="42"/>
      <c r="Q58" s="42"/>
      <c r="R58" s="42"/>
      <c r="S58" s="42"/>
      <c r="T58" s="42"/>
      <c r="U58" s="42"/>
      <c r="V58" s="42"/>
    </row>
    <row r="59" spans="1:22" s="5" customFormat="1">
      <c r="A59" s="3"/>
      <c r="B59" s="3"/>
      <c r="C59" s="3"/>
      <c r="D59" s="3"/>
      <c r="E59" s="3" t="s">
        <v>139</v>
      </c>
      <c r="F59" s="3"/>
      <c r="G59" s="3"/>
      <c r="H59" s="3"/>
      <c r="I59" s="3"/>
      <c r="J59" s="3"/>
      <c r="K59" s="3"/>
      <c r="L59" s="3"/>
      <c r="M59" s="3"/>
      <c r="N59" s="42"/>
      <c r="O59" s="42"/>
      <c r="P59" s="42"/>
      <c r="Q59" s="42"/>
      <c r="R59" s="42"/>
      <c r="S59" s="42"/>
      <c r="T59" s="42"/>
      <c r="U59" s="42"/>
      <c r="V59" s="42"/>
    </row>
    <row r="60" spans="1:22" s="5" customFormat="1">
      <c r="A60" s="3" t="s">
        <v>140</v>
      </c>
      <c r="B60" s="3"/>
      <c r="C60" s="19" t="e">
        <f>C4</f>
        <v>#REF!</v>
      </c>
      <c r="D60" s="19" t="e">
        <f t="shared" ref="D60:V60" si="17">(C60-C61)*D38</f>
        <v>#REF!</v>
      </c>
      <c r="E60" s="19" t="e">
        <f t="shared" si="17"/>
        <v>#REF!</v>
      </c>
      <c r="F60" s="19" t="e">
        <f t="shared" si="17"/>
        <v>#REF!</v>
      </c>
      <c r="G60" s="19" t="e">
        <f t="shared" si="17"/>
        <v>#REF!</v>
      </c>
      <c r="H60" s="19" t="e">
        <f t="shared" si="17"/>
        <v>#REF!</v>
      </c>
      <c r="I60" s="19" t="e">
        <f t="shared" si="17"/>
        <v>#REF!</v>
      </c>
      <c r="J60" s="19" t="e">
        <f t="shared" si="17"/>
        <v>#REF!</v>
      </c>
      <c r="K60" s="19" t="e">
        <f t="shared" si="17"/>
        <v>#REF!</v>
      </c>
      <c r="L60" s="19" t="e">
        <f t="shared" si="17"/>
        <v>#REF!</v>
      </c>
      <c r="M60" s="19" t="e">
        <f t="shared" si="17"/>
        <v>#REF!</v>
      </c>
      <c r="N60" s="19" t="e">
        <f t="shared" si="17"/>
        <v>#REF!</v>
      </c>
      <c r="O60" s="19" t="e">
        <f t="shared" si="17"/>
        <v>#REF!</v>
      </c>
      <c r="P60" s="19" t="e">
        <f t="shared" si="17"/>
        <v>#REF!</v>
      </c>
      <c r="Q60" s="19" t="e">
        <f t="shared" si="17"/>
        <v>#REF!</v>
      </c>
      <c r="R60" s="19" t="e">
        <f t="shared" si="17"/>
        <v>#REF!</v>
      </c>
      <c r="S60" s="19" t="e">
        <f t="shared" si="17"/>
        <v>#REF!</v>
      </c>
      <c r="T60" s="19" t="e">
        <f t="shared" si="17"/>
        <v>#REF!</v>
      </c>
      <c r="U60" s="19" t="e">
        <f t="shared" si="17"/>
        <v>#REF!</v>
      </c>
      <c r="V60" s="19" t="e">
        <f t="shared" si="17"/>
        <v>#REF!</v>
      </c>
    </row>
    <row r="61" spans="1:22" s="5" customFormat="1">
      <c r="A61" s="3" t="s">
        <v>141</v>
      </c>
      <c r="B61" s="3"/>
      <c r="C61" s="19" t="e">
        <f t="shared" ref="C61:V61" si="18">IF($C$8=1,(($C$4-$C$7)/$C$6)*C38,(IF($C$7&lt;$C$4*(1-2/$C$6)^(C23),$C$4*(1-2/$C$6)^(C23-1)*(2/$C$6)*C38,(IF(0&gt;($C$4*(1-2/$C$6)^(C23-1))-$C$7,0,$C$4*C38*(1-2/$C$6)^(C23-1)-$C$7)))))</f>
        <v>#REF!</v>
      </c>
      <c r="D61" s="19" t="e">
        <f t="shared" si="18"/>
        <v>#REF!</v>
      </c>
      <c r="E61" s="19" t="e">
        <f t="shared" si="18"/>
        <v>#REF!</v>
      </c>
      <c r="F61" s="19" t="e">
        <f t="shared" si="18"/>
        <v>#REF!</v>
      </c>
      <c r="G61" s="19" t="e">
        <f t="shared" si="18"/>
        <v>#REF!</v>
      </c>
      <c r="H61" s="19" t="e">
        <f t="shared" si="18"/>
        <v>#REF!</v>
      </c>
      <c r="I61" s="19" t="e">
        <f t="shared" si="18"/>
        <v>#REF!</v>
      </c>
      <c r="J61" s="19" t="e">
        <f t="shared" si="18"/>
        <v>#REF!</v>
      </c>
      <c r="K61" s="19" t="e">
        <f t="shared" si="18"/>
        <v>#REF!</v>
      </c>
      <c r="L61" s="19" t="e">
        <f t="shared" si="18"/>
        <v>#REF!</v>
      </c>
      <c r="M61" s="19" t="e">
        <f t="shared" si="18"/>
        <v>#REF!</v>
      </c>
      <c r="N61" s="19" t="e">
        <f t="shared" si="18"/>
        <v>#REF!</v>
      </c>
      <c r="O61" s="19" t="e">
        <f t="shared" si="18"/>
        <v>#REF!</v>
      </c>
      <c r="P61" s="19" t="e">
        <f t="shared" si="18"/>
        <v>#REF!</v>
      </c>
      <c r="Q61" s="19" t="e">
        <f t="shared" si="18"/>
        <v>#REF!</v>
      </c>
      <c r="R61" s="19" t="e">
        <f t="shared" si="18"/>
        <v>#REF!</v>
      </c>
      <c r="S61" s="19" t="e">
        <f t="shared" si="18"/>
        <v>#REF!</v>
      </c>
      <c r="T61" s="19" t="e">
        <f t="shared" si="18"/>
        <v>#REF!</v>
      </c>
      <c r="U61" s="19" t="e">
        <f t="shared" si="18"/>
        <v>#REF!</v>
      </c>
      <c r="V61" s="19" t="e">
        <f t="shared" si="18"/>
        <v>#REF!</v>
      </c>
    </row>
    <row r="62" spans="1:22" s="5" customFormat="1">
      <c r="A62" s="3" t="s">
        <v>142</v>
      </c>
      <c r="B62" s="19" t="e">
        <f>C4</f>
        <v>#REF!</v>
      </c>
      <c r="C62" s="19" t="e">
        <f>C60-C61</f>
        <v>#REF!</v>
      </c>
      <c r="D62" s="19" t="e">
        <f t="shared" ref="D62:U62" si="19">D60-D61</f>
        <v>#REF!</v>
      </c>
      <c r="E62" s="19" t="e">
        <f t="shared" si="19"/>
        <v>#REF!</v>
      </c>
      <c r="F62" s="19" t="e">
        <f t="shared" si="19"/>
        <v>#REF!</v>
      </c>
      <c r="G62" s="19" t="e">
        <f t="shared" si="19"/>
        <v>#REF!</v>
      </c>
      <c r="H62" s="19" t="e">
        <f t="shared" si="19"/>
        <v>#REF!</v>
      </c>
      <c r="I62" s="19" t="e">
        <f t="shared" si="19"/>
        <v>#REF!</v>
      </c>
      <c r="J62" s="19" t="e">
        <f t="shared" si="19"/>
        <v>#REF!</v>
      </c>
      <c r="K62" s="19" t="e">
        <f t="shared" si="19"/>
        <v>#REF!</v>
      </c>
      <c r="L62" s="19" t="e">
        <f t="shared" si="19"/>
        <v>#REF!</v>
      </c>
      <c r="M62" s="19" t="e">
        <f>M60-M61</f>
        <v>#REF!</v>
      </c>
      <c r="N62" s="19" t="e">
        <f t="shared" si="19"/>
        <v>#REF!</v>
      </c>
      <c r="O62" s="19" t="e">
        <f t="shared" si="19"/>
        <v>#REF!</v>
      </c>
      <c r="P62" s="19" t="e">
        <f t="shared" si="19"/>
        <v>#REF!</v>
      </c>
      <c r="Q62" s="19" t="e">
        <f t="shared" si="19"/>
        <v>#REF!</v>
      </c>
      <c r="R62" s="19" t="e">
        <f t="shared" si="19"/>
        <v>#REF!</v>
      </c>
      <c r="S62" s="19" t="e">
        <f t="shared" si="19"/>
        <v>#REF!</v>
      </c>
      <c r="T62" s="19" t="e">
        <f t="shared" si="19"/>
        <v>#REF!</v>
      </c>
      <c r="U62" s="19" t="e">
        <f t="shared" si="19"/>
        <v>#REF!</v>
      </c>
      <c r="V62" s="19" t="e">
        <f>V60-V61</f>
        <v>#REF!</v>
      </c>
    </row>
    <row r="63" spans="1:22" s="5" customForma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42"/>
      <c r="O63" s="42"/>
      <c r="P63" s="42"/>
      <c r="Q63" s="42"/>
      <c r="R63" s="42"/>
      <c r="S63" s="42"/>
      <c r="T63" s="42"/>
      <c r="U63" s="42"/>
      <c r="V63" s="42"/>
    </row>
    <row r="64" spans="1:22" s="5" customForma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42"/>
      <c r="O64" s="42"/>
      <c r="P64" s="42"/>
      <c r="Q64" s="42"/>
      <c r="R64" s="42"/>
      <c r="S64" s="42"/>
      <c r="T64" s="42"/>
      <c r="U64" s="42"/>
      <c r="V64" s="42"/>
    </row>
    <row r="65" spans="1:13" s="5" customForma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s="5" customForma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</sheetData>
  <printOptions gridLinesSet="0"/>
  <pageMargins left="0.75" right="0.75" top="1" bottom="1" header="0.5" footer="0.5"/>
  <pageSetup firstPageNumber="5" orientation="landscape" useFirstPageNumber="1" horizontalDpi="0" verticalDpi="0" copies="0"/>
  <headerFooter alignWithMargins="0">
    <oddHeader>&amp;C&amp;"Times"&amp;12CAPITAL BUDGETING WORKSHEET&amp;R&amp;P</oddHeader>
  </headerFooter>
  <rowBreaks count="2" manualBreakCount="2">
    <brk id="20" max="65535" man="1"/>
    <brk id="61" max="6553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E876A1C42253459BFD20221D8DEF58" ma:contentTypeVersion="18" ma:contentTypeDescription="Create a new document." ma:contentTypeScope="" ma:versionID="103251a9c5ae8ad26bab15a1ddf50e36">
  <xsd:schema xmlns:xsd="http://www.w3.org/2001/XMLSchema" xmlns:xs="http://www.w3.org/2001/XMLSchema" xmlns:p="http://schemas.microsoft.com/office/2006/metadata/properties" xmlns:ns2="c8902c9a-e379-4a60-ab7c-75c9d025ca06" xmlns:ns3="9cc6979c-ce28-4ace-9735-dc44a1047c74" targetNamespace="http://schemas.microsoft.com/office/2006/metadata/properties" ma:root="true" ma:fieldsID="e52c5c376c595e3dedab81e5b69bcf63" ns2:_="" ns3:_="">
    <xsd:import namespace="c8902c9a-e379-4a60-ab7c-75c9d025ca06"/>
    <xsd:import namespace="9cc6979c-ce28-4ace-9735-dc44a1047c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902c9a-e379-4a60-ab7c-75c9d025c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d5589-4d7d-4042-b98e-7ab316a1d3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6979c-ce28-4ace-9735-dc44a1047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f35e911-7d67-4f76-91d2-8f30d76c0b1d}" ma:internalName="TaxCatchAll" ma:showField="CatchAllData" ma:web="9cc6979c-ce28-4ace-9735-dc44a1047c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902c9a-e379-4a60-ab7c-75c9d025ca06">
      <Terms xmlns="http://schemas.microsoft.com/office/infopath/2007/PartnerControls"/>
    </lcf76f155ced4ddcb4097134ff3c332f>
    <TaxCatchAll xmlns="9cc6979c-ce28-4ace-9735-dc44a1047c74" xsi:nil="true"/>
    <SharedWithUsers xmlns="9cc6979c-ce28-4ace-9735-dc44a1047c74">
      <UserInfo>
        <DisplayName>Adam Riley</DisplayName>
        <AccountId>13</AccountId>
        <AccountType/>
      </UserInfo>
      <UserInfo>
        <DisplayName>Drew Chislett</DisplayName>
        <AccountId>15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E722FF1-B6E7-4EB0-9329-9A936B5330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902c9a-e379-4a60-ab7c-75c9d025ca06"/>
    <ds:schemaRef ds:uri="9cc6979c-ce28-4ace-9735-dc44a1047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C0833C-1BD8-46C6-8038-A166645710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66866B-2286-4B89-B0A1-066FAB28511B}">
  <ds:schemaRefs>
    <ds:schemaRef ds:uri="http://schemas.microsoft.com/office/2006/metadata/properties"/>
    <ds:schemaRef ds:uri="http://schemas.microsoft.com/office/infopath/2007/PartnerControls"/>
    <ds:schemaRef ds:uri="c8902c9a-e379-4a60-ab7c-75c9d025ca06"/>
    <ds:schemaRef ds:uri="9cc6979c-ce28-4ace-9735-dc44a1047c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Sheet3</vt:lpstr>
      <vt:lpstr>AET NPV</vt:lpstr>
      <vt:lpstr>M2</vt:lpstr>
      <vt:lpstr>NPV2</vt:lpstr>
      <vt:lpstr>Chart1</vt:lpstr>
      <vt:lpstr>'M2'!Rev_Stream</vt:lpstr>
      <vt:lpstr>'M2'!Revenue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Damodaran</dc:creator>
  <cp:keywords/>
  <dc:description/>
  <cp:lastModifiedBy>Sarah Evans</cp:lastModifiedBy>
  <cp:revision/>
  <dcterms:created xsi:type="dcterms:W3CDTF">2000-11-15T22:33:24Z</dcterms:created>
  <dcterms:modified xsi:type="dcterms:W3CDTF">2026-02-16T12:19:59Z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0x01010079E876A1C42253459BFD20221D8DEF58</vt:lpwstr>
  </property>
  <property fmtid="{D5CDD505-2E9C-101B-9397-08002B2CF9AE}" pid="3" name="MediaServiceImageTags">
    <vt:lpwstr/>
  </property>
</Properties>
</file>